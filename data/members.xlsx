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6c0feee4e58a39d/Desktop/"/>
    </mc:Choice>
  </mc:AlternateContent>
  <xr:revisionPtr revIDLastSave="52" documentId="8_{B1C2C7A0-779A-452E-907F-F31AA48868CD}" xr6:coauthVersionLast="47" xr6:coauthVersionMax="47" xr10:uidLastSave="{7316F42C-EBAE-449F-97A0-25A4878F1737}"/>
  <bookViews>
    <workbookView xWindow="-108" yWindow="-108" windowWidth="23256" windowHeight="12456" tabRatio="766" xr2:uid="{E7D5FCC3-11E2-49BD-983F-6DCDB84ACD4C}"/>
  </bookViews>
  <sheets>
    <sheet name="members" sheetId="1" r:id="rId1"/>
    <sheet name="설정" sheetId="14" r:id="rId2"/>
    <sheet name="크루" sheetId="16" r:id="rId3"/>
    <sheet name="멤버" sheetId="21" r:id="rId4"/>
    <sheet name="전적" sheetId="18" r:id="rId5"/>
    <sheet name="크루표" sheetId="20" r:id="rId6"/>
    <sheet name="멤버표" sheetId="19" r:id="rId7"/>
    <sheet name="이부" sheetId="17" r:id="rId8"/>
    <sheet name="이부표" sheetId="22" r:id="rId9"/>
  </sheets>
  <definedNames>
    <definedName name="그룹목록">_xlfn.ANCHORARRAY(설정!$D$2)</definedName>
    <definedName name="조건부값">_xlfn.ANCHORARRAY(설정!#REF!)</definedName>
    <definedName name="차트날짜">#REF!:INDEX(#REF!, COUNTA(#REF!))</definedName>
    <definedName name="차트축값">#REF!:INDEX(#REF!, COUNTA(#REF!))</definedName>
  </definedNames>
  <calcPr calcId="191028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177" i="18" l="1"/>
  <c r="AD177" i="18" a="1"/>
  <c r="AE177" i="18" s="1"/>
  <c r="AC176" i="18"/>
  <c r="AD176" i="18" a="1"/>
  <c r="AE176" i="18" s="1"/>
  <c r="AC175" i="18"/>
  <c r="AD175" i="18" a="1"/>
  <c r="AE175" i="18" s="1"/>
  <c r="AC178" i="18"/>
  <c r="AD178" i="18" a="1"/>
  <c r="AE178" i="18" s="1"/>
  <c r="AC174" i="18"/>
  <c r="AD174" i="18" a="1"/>
  <c r="AE174" i="18" s="1"/>
  <c r="AD2" i="18" a="1"/>
  <c r="AE2" i="18" s="1"/>
  <c r="AD3" i="18" a="1"/>
  <c r="AE3" i="18" s="1"/>
  <c r="AD4" i="18" a="1"/>
  <c r="AE4" i="18" s="1"/>
  <c r="AD5" i="18" a="1"/>
  <c r="AE5" i="18" s="1"/>
  <c r="AD6" i="18" a="1"/>
  <c r="AE6" i="18" s="1"/>
  <c r="AD7" i="18" a="1"/>
  <c r="AE7" i="18" s="1"/>
  <c r="AD8" i="18" a="1"/>
  <c r="AE8" i="18" s="1"/>
  <c r="AD9" i="18" a="1"/>
  <c r="AE9" i="18" s="1"/>
  <c r="AD10" i="18" a="1"/>
  <c r="AE10" i="18" s="1"/>
  <c r="AD11" i="18" a="1"/>
  <c r="AE11" i="18" s="1"/>
  <c r="AD12" i="18" a="1"/>
  <c r="AE12" i="18" s="1"/>
  <c r="AD13" i="18" a="1"/>
  <c r="AE13" i="18" s="1"/>
  <c r="AD14" i="18" a="1"/>
  <c r="AE14" i="18" s="1"/>
  <c r="AD15" i="18" a="1"/>
  <c r="AE15" i="18" s="1"/>
  <c r="AD16" i="18" a="1"/>
  <c r="AE16" i="18" s="1"/>
  <c r="AD17" i="18" a="1"/>
  <c r="AE17" i="18" s="1"/>
  <c r="AD18" i="18" a="1"/>
  <c r="AE18" i="18" s="1"/>
  <c r="AD19" i="18" a="1"/>
  <c r="AE19" i="18" s="1"/>
  <c r="AD20" i="18" a="1"/>
  <c r="AE20" i="18" s="1"/>
  <c r="AD21" i="18" a="1"/>
  <c r="AE21" i="18" s="1"/>
  <c r="AD22" i="18" a="1"/>
  <c r="AE22" i="18" s="1"/>
  <c r="AD23" i="18" a="1"/>
  <c r="AE23" i="18" s="1"/>
  <c r="AD24" i="18" a="1"/>
  <c r="AE24" i="18" s="1"/>
  <c r="AD25" i="18" a="1"/>
  <c r="AE25" i="18" s="1"/>
  <c r="AD26" i="18" a="1"/>
  <c r="AE26" i="18" s="1"/>
  <c r="AD27" i="18" a="1"/>
  <c r="AE27" i="18" s="1"/>
  <c r="AD28" i="18" a="1"/>
  <c r="AE28" i="18" s="1"/>
  <c r="AD29" i="18" a="1"/>
  <c r="AE29" i="18" s="1"/>
  <c r="AD30" i="18" a="1"/>
  <c r="AE30" i="18" s="1"/>
  <c r="AD31" i="18" a="1"/>
  <c r="AE31" i="18" s="1"/>
  <c r="AD32" i="18" a="1"/>
  <c r="AE32" i="18" s="1"/>
  <c r="AD33" i="18" a="1"/>
  <c r="AE33" i="18" s="1"/>
  <c r="AD34" i="18" a="1"/>
  <c r="AE34" i="18" s="1"/>
  <c r="AD35" i="18" a="1"/>
  <c r="AE35" i="18" s="1"/>
  <c r="AD36" i="18" a="1"/>
  <c r="AE36" i="18" s="1"/>
  <c r="AD37" i="18" a="1"/>
  <c r="AE37" i="18" s="1"/>
  <c r="AD38" i="18" a="1"/>
  <c r="AE38" i="18" s="1"/>
  <c r="AD39" i="18" a="1"/>
  <c r="AE39" i="18" s="1"/>
  <c r="AD40" i="18" a="1"/>
  <c r="AE40" i="18" s="1"/>
  <c r="AD41" i="18" a="1"/>
  <c r="AE41" i="18" s="1"/>
  <c r="AD42" i="18" a="1"/>
  <c r="AE42" i="18" s="1"/>
  <c r="AD43" i="18" a="1"/>
  <c r="AE43" i="18" s="1"/>
  <c r="AD44" i="18" a="1"/>
  <c r="AE44" i="18" s="1"/>
  <c r="AD45" i="18" a="1"/>
  <c r="AE45" i="18" s="1"/>
  <c r="AD46" i="18" a="1"/>
  <c r="AE46" i="18" s="1"/>
  <c r="AD47" i="18" a="1"/>
  <c r="AE47" i="18" s="1"/>
  <c r="AD48" i="18" a="1"/>
  <c r="AE48" i="18" s="1"/>
  <c r="AD49" i="18" a="1"/>
  <c r="AE49" i="18" s="1"/>
  <c r="AD50" i="18" a="1"/>
  <c r="AE50" i="18" s="1"/>
  <c r="AD51" i="18" a="1"/>
  <c r="AE51" i="18" s="1"/>
  <c r="AD52" i="18" a="1"/>
  <c r="AE52" i="18" s="1"/>
  <c r="AD53" i="18" a="1"/>
  <c r="AE53" i="18" s="1"/>
  <c r="AD54" i="18" a="1"/>
  <c r="AE54" i="18" s="1"/>
  <c r="AD55" i="18" a="1"/>
  <c r="AE55" i="18" s="1"/>
  <c r="AD56" i="18" a="1"/>
  <c r="AE56" i="18" s="1"/>
  <c r="AD57" i="18" a="1"/>
  <c r="AE57" i="18" s="1"/>
  <c r="AD58" i="18" a="1"/>
  <c r="AE58" i="18" s="1"/>
  <c r="AD59" i="18" a="1"/>
  <c r="AE59" i="18" s="1"/>
  <c r="AD60" i="18" a="1"/>
  <c r="AE60" i="18" s="1"/>
  <c r="AD61" i="18" a="1"/>
  <c r="AE61" i="18" s="1"/>
  <c r="AD62" i="18" a="1"/>
  <c r="AE62" i="18" s="1"/>
  <c r="AD63" i="18" a="1"/>
  <c r="AE63" i="18" s="1"/>
  <c r="AD64" i="18" a="1"/>
  <c r="AE64" i="18" s="1"/>
  <c r="AD65" i="18" a="1"/>
  <c r="AE65" i="18" s="1"/>
  <c r="AD66" i="18" a="1"/>
  <c r="AE66" i="18" s="1"/>
  <c r="AD67" i="18" a="1"/>
  <c r="AE67" i="18" s="1"/>
  <c r="AD68" i="18" a="1"/>
  <c r="AE68" i="18" s="1"/>
  <c r="AD69" i="18" a="1"/>
  <c r="AE69" i="18" s="1"/>
  <c r="AD70" i="18" a="1"/>
  <c r="AE70" i="18" s="1"/>
  <c r="AD71" i="18" a="1"/>
  <c r="AE71" i="18" s="1"/>
  <c r="AD72" i="18" a="1"/>
  <c r="AE72" i="18" s="1"/>
  <c r="AD73" i="18" a="1"/>
  <c r="AE73" i="18" s="1"/>
  <c r="AD74" i="18" a="1"/>
  <c r="AE74" i="18" s="1"/>
  <c r="AD75" i="18" a="1"/>
  <c r="AE75" i="18" s="1"/>
  <c r="AD76" i="18" a="1"/>
  <c r="AE76" i="18" s="1"/>
  <c r="AD77" i="18" a="1"/>
  <c r="AE77" i="18" s="1"/>
  <c r="AD78" i="18" a="1"/>
  <c r="AE78" i="18" s="1"/>
  <c r="AD79" i="18" a="1"/>
  <c r="AE79" i="18" s="1"/>
  <c r="AD80" i="18" a="1"/>
  <c r="AE80" i="18" s="1"/>
  <c r="AD81" i="18" a="1"/>
  <c r="AE81" i="18" s="1"/>
  <c r="AD82" i="18" a="1"/>
  <c r="AE82" i="18" s="1"/>
  <c r="AD83" i="18" a="1"/>
  <c r="AE83" i="18" s="1"/>
  <c r="AD84" i="18" a="1"/>
  <c r="AE84" i="18" s="1"/>
  <c r="AD85" i="18" a="1"/>
  <c r="AE85" i="18" s="1"/>
  <c r="AD86" i="18" a="1"/>
  <c r="AE86" i="18" s="1"/>
  <c r="AD87" i="18" a="1"/>
  <c r="AE87" i="18" s="1"/>
  <c r="AD88" i="18" a="1"/>
  <c r="AE88" i="18" s="1"/>
  <c r="AD89" i="18" a="1"/>
  <c r="AE89" i="18" s="1"/>
  <c r="AD90" i="18" a="1"/>
  <c r="AE90" i="18" s="1"/>
  <c r="AD91" i="18" a="1"/>
  <c r="AE91" i="18" s="1"/>
  <c r="AD92" i="18" a="1"/>
  <c r="AE92" i="18" s="1"/>
  <c r="AD93" i="18" a="1"/>
  <c r="AE93" i="18" s="1"/>
  <c r="AD94" i="18" a="1"/>
  <c r="AE94" i="18" s="1"/>
  <c r="AD95" i="18" a="1"/>
  <c r="AE95" i="18" s="1"/>
  <c r="AD96" i="18" a="1"/>
  <c r="AE96" i="18" s="1"/>
  <c r="AD97" i="18" a="1"/>
  <c r="AE97" i="18" s="1"/>
  <c r="AD98" i="18" a="1"/>
  <c r="AE98" i="18" s="1"/>
  <c r="AD99" i="18" a="1"/>
  <c r="AE99" i="18" s="1"/>
  <c r="AD100" i="18" a="1"/>
  <c r="AE100" i="18" s="1"/>
  <c r="AD101" i="18" a="1"/>
  <c r="AE101" i="18" s="1"/>
  <c r="AD102" i="18" a="1"/>
  <c r="AE102" i="18" s="1"/>
  <c r="AD103" i="18" a="1"/>
  <c r="AE103" i="18" s="1"/>
  <c r="AD104" i="18" a="1"/>
  <c r="AE104" i="18" s="1"/>
  <c r="AD105" i="18" a="1"/>
  <c r="AE105" i="18" s="1"/>
  <c r="AD106" i="18" a="1"/>
  <c r="AE106" i="18" s="1"/>
  <c r="AD107" i="18" a="1"/>
  <c r="AE107" i="18" s="1"/>
  <c r="AD108" i="18" a="1"/>
  <c r="AE108" i="18" s="1"/>
  <c r="AD109" i="18" a="1"/>
  <c r="AE109" i="18" s="1"/>
  <c r="AD110" i="18" a="1"/>
  <c r="AE110" i="18" s="1"/>
  <c r="AD111" i="18" a="1"/>
  <c r="AE111" i="18" s="1"/>
  <c r="AD112" i="18" a="1"/>
  <c r="AE112" i="18" s="1"/>
  <c r="AD113" i="18" a="1"/>
  <c r="AE113" i="18" s="1"/>
  <c r="AD114" i="18" a="1"/>
  <c r="AE114" i="18" s="1"/>
  <c r="AD115" i="18" a="1"/>
  <c r="AE115" i="18" s="1"/>
  <c r="AD116" i="18" a="1"/>
  <c r="AE116" i="18" s="1"/>
  <c r="AD117" i="18" a="1"/>
  <c r="AE117" i="18" s="1"/>
  <c r="AD118" i="18" a="1"/>
  <c r="AE118" i="18" s="1"/>
  <c r="AD119" i="18" a="1"/>
  <c r="AE119" i="18" s="1"/>
  <c r="AD120" i="18" a="1"/>
  <c r="AE120" i="18" s="1"/>
  <c r="AD121" i="18" a="1"/>
  <c r="AE121" i="18" s="1"/>
  <c r="AD122" i="18" a="1"/>
  <c r="AE122" i="18" s="1"/>
  <c r="AD123" i="18" a="1"/>
  <c r="AE123" i="18" s="1"/>
  <c r="AD124" i="18" a="1"/>
  <c r="AE124" i="18" s="1"/>
  <c r="AD125" i="18" a="1"/>
  <c r="AE125" i="18" s="1"/>
  <c r="AD126" i="18" a="1"/>
  <c r="AE126" i="18" s="1"/>
  <c r="AD127" i="18" a="1"/>
  <c r="AE127" i="18" s="1"/>
  <c r="AD128" i="18" a="1"/>
  <c r="AE128" i="18" s="1"/>
  <c r="AD129" i="18" a="1"/>
  <c r="AE129" i="18" s="1"/>
  <c r="AD130" i="18" a="1"/>
  <c r="AE130" i="18" s="1"/>
  <c r="AD131" i="18" a="1"/>
  <c r="AE131" i="18" s="1"/>
  <c r="AD132" i="18" a="1"/>
  <c r="AE132" i="18" s="1"/>
  <c r="AD133" i="18" a="1"/>
  <c r="AE133" i="18" s="1"/>
  <c r="AD134" i="18" a="1"/>
  <c r="AE134" i="18" s="1"/>
  <c r="AD135" i="18" a="1"/>
  <c r="AE135" i="18" s="1"/>
  <c r="AD136" i="18" a="1"/>
  <c r="AE136" i="18" s="1"/>
  <c r="AD137" i="18" a="1"/>
  <c r="AE137" i="18" s="1"/>
  <c r="AD138" i="18" a="1"/>
  <c r="AE138" i="18" s="1"/>
  <c r="AD139" i="18" a="1"/>
  <c r="AE139" i="18" s="1"/>
  <c r="AD140" i="18" a="1"/>
  <c r="AE140" i="18" s="1"/>
  <c r="AD141" i="18" a="1"/>
  <c r="AE141" i="18" s="1"/>
  <c r="AD142" i="18" a="1"/>
  <c r="AE142" i="18" s="1"/>
  <c r="AD143" i="18" a="1"/>
  <c r="AE143" i="18" s="1"/>
  <c r="AD144" i="18" a="1"/>
  <c r="AE144" i="18" s="1"/>
  <c r="AD145" i="18" a="1"/>
  <c r="AE145" i="18" s="1"/>
  <c r="AD146" i="18" a="1"/>
  <c r="AE146" i="18" s="1"/>
  <c r="AD147" i="18" a="1"/>
  <c r="AE147" i="18" s="1"/>
  <c r="AD148" i="18" a="1"/>
  <c r="AE148" i="18" s="1"/>
  <c r="AD149" i="18" a="1"/>
  <c r="AE149" i="18" s="1"/>
  <c r="AD150" i="18" a="1"/>
  <c r="AE150" i="18" s="1"/>
  <c r="AD151" i="18" a="1"/>
  <c r="AE151" i="18" s="1"/>
  <c r="AD152" i="18" a="1"/>
  <c r="AE152" i="18" s="1"/>
  <c r="AD153" i="18" a="1"/>
  <c r="AE153" i="18" s="1"/>
  <c r="AD154" i="18" a="1"/>
  <c r="AE154" i="18" s="1"/>
  <c r="AD155" i="18" a="1"/>
  <c r="AE155" i="18" s="1"/>
  <c r="AD156" i="18" a="1"/>
  <c r="AE156" i="18" s="1"/>
  <c r="AD157" i="18" a="1"/>
  <c r="AE157" i="18" s="1"/>
  <c r="AD158" i="18" a="1"/>
  <c r="AE158" i="18" s="1"/>
  <c r="AD159" i="18" a="1"/>
  <c r="AE159" i="18" s="1"/>
  <c r="AD160" i="18" a="1"/>
  <c r="AE160" i="18" s="1"/>
  <c r="AD161" i="18" a="1"/>
  <c r="AE161" i="18" s="1"/>
  <c r="AD162" i="18" a="1"/>
  <c r="AE162" i="18" s="1"/>
  <c r="AD163" i="18" a="1"/>
  <c r="AE163" i="18" s="1"/>
  <c r="AD164" i="18" a="1"/>
  <c r="AE164" i="18" s="1"/>
  <c r="AD165" i="18" a="1"/>
  <c r="AE165" i="18" s="1"/>
  <c r="AD166" i="18" a="1"/>
  <c r="AE166" i="18" s="1"/>
  <c r="AD167" i="18" a="1"/>
  <c r="AE167" i="18" s="1"/>
  <c r="AD168" i="18" a="1"/>
  <c r="AE168" i="18" s="1"/>
  <c r="AD169" i="18" a="1"/>
  <c r="AE169" i="18" s="1"/>
  <c r="AD170" i="18" a="1"/>
  <c r="AE170" i="18" s="1"/>
  <c r="AD171" i="18" a="1"/>
  <c r="AE171" i="18" s="1"/>
  <c r="AD172" i="18" a="1"/>
  <c r="AE172" i="18" s="1"/>
  <c r="AD173" i="18" a="1"/>
  <c r="AE173" i="18" s="1"/>
  <c r="AC173" i="18"/>
  <c r="AC172" i="18"/>
  <c r="AC171" i="18"/>
  <c r="AC170" i="18"/>
  <c r="AC169" i="18"/>
  <c r="AC168" i="18"/>
  <c r="AC167" i="18"/>
  <c r="AC166" i="18"/>
  <c r="AC165" i="18"/>
  <c r="AC164" i="18"/>
  <c r="AC163" i="18"/>
  <c r="AC162" i="18"/>
  <c r="AC161" i="18"/>
  <c r="AC160" i="18"/>
  <c r="AC159" i="18"/>
  <c r="AC158" i="18"/>
  <c r="AC157" i="18"/>
  <c r="AC156" i="18"/>
  <c r="AC155" i="18"/>
  <c r="AC154" i="18"/>
  <c r="AC153" i="18"/>
  <c r="AC152" i="18"/>
  <c r="AC151" i="18"/>
  <c r="AC150" i="18"/>
  <c r="AC149" i="18"/>
  <c r="AC148" i="18"/>
  <c r="AC147" i="18"/>
  <c r="AC146" i="18"/>
  <c r="AC145" i="18"/>
  <c r="AC144" i="18"/>
  <c r="AC143" i="18"/>
  <c r="AC142" i="18"/>
  <c r="AC141" i="18"/>
  <c r="AC140" i="18"/>
  <c r="AC139" i="18"/>
  <c r="AC138" i="18"/>
  <c r="AC137" i="18"/>
  <c r="AC136" i="18"/>
  <c r="AC135" i="18"/>
  <c r="AC134" i="18"/>
  <c r="AC133" i="18"/>
  <c r="AC132" i="18"/>
  <c r="AC131" i="18"/>
  <c r="AC123" i="18"/>
  <c r="AC130" i="18"/>
  <c r="AC129" i="18"/>
  <c r="AC128" i="18"/>
  <c r="AC127" i="18"/>
  <c r="AC126" i="18"/>
  <c r="AC125" i="18"/>
  <c r="AC124" i="18"/>
  <c r="AC122" i="18"/>
  <c r="AC121" i="18"/>
  <c r="AC120" i="18"/>
  <c r="AC119" i="18"/>
  <c r="AC118" i="18"/>
  <c r="AC117" i="18"/>
  <c r="AC116" i="18"/>
  <c r="AC115" i="18"/>
  <c r="AC114" i="18"/>
  <c r="AC113" i="18"/>
  <c r="AC112" i="18"/>
  <c r="AC111" i="18"/>
  <c r="AC110" i="18"/>
  <c r="AC109" i="18"/>
  <c r="AC108" i="18"/>
  <c r="AC107" i="18"/>
  <c r="AC106" i="18"/>
  <c r="AC98" i="18"/>
  <c r="AC105" i="18"/>
  <c r="AC104" i="18"/>
  <c r="AC103" i="18"/>
  <c r="AC99" i="18"/>
  <c r="AC101" i="18"/>
  <c r="AC100" i="18"/>
  <c r="AC102" i="18"/>
  <c r="A2" i="20" a="1"/>
  <c r="AC3" i="18"/>
  <c r="AC4" i="18"/>
  <c r="AC5" i="18"/>
  <c r="AC6" i="18"/>
  <c r="AC7" i="18"/>
  <c r="AC8" i="18"/>
  <c r="AC9" i="18"/>
  <c r="AC10" i="18"/>
  <c r="AC11" i="18"/>
  <c r="AC12" i="18"/>
  <c r="AC13" i="18"/>
  <c r="AC14" i="18"/>
  <c r="AC15" i="18"/>
  <c r="AC16" i="18"/>
  <c r="AC17" i="18"/>
  <c r="AC18" i="18"/>
  <c r="AC19" i="18"/>
  <c r="AC20" i="18"/>
  <c r="AC21" i="18"/>
  <c r="AC22" i="18"/>
  <c r="AC23" i="18"/>
  <c r="AC24" i="18"/>
  <c r="AC25" i="18"/>
  <c r="AC26" i="18"/>
  <c r="AC27" i="18"/>
  <c r="AC28" i="18"/>
  <c r="AC29" i="18"/>
  <c r="AC30" i="18"/>
  <c r="AC31" i="18"/>
  <c r="AC32" i="18"/>
  <c r="AC33" i="18"/>
  <c r="AC34" i="18"/>
  <c r="AC35" i="18"/>
  <c r="AC36" i="18"/>
  <c r="AC37" i="18"/>
  <c r="AC38" i="18"/>
  <c r="AC39" i="18"/>
  <c r="AC40" i="18"/>
  <c r="AC41" i="18"/>
  <c r="AC42" i="18"/>
  <c r="AC43" i="18"/>
  <c r="AC44" i="18"/>
  <c r="AC45" i="18"/>
  <c r="AC46" i="18"/>
  <c r="AC47" i="18"/>
  <c r="AC48" i="18"/>
  <c r="AC49" i="18"/>
  <c r="AC50" i="18"/>
  <c r="AC51" i="18"/>
  <c r="AC52" i="18"/>
  <c r="AC53" i="18"/>
  <c r="AC54" i="18"/>
  <c r="AC55" i="18"/>
  <c r="AC56" i="18"/>
  <c r="AC57" i="18"/>
  <c r="AC58" i="18"/>
  <c r="AC59" i="18"/>
  <c r="AC60" i="18"/>
  <c r="AC61" i="18"/>
  <c r="AC62" i="18"/>
  <c r="AC63" i="18"/>
  <c r="AC64" i="18"/>
  <c r="AC65" i="18"/>
  <c r="AC66" i="18"/>
  <c r="AC67" i="18"/>
  <c r="AC68" i="18"/>
  <c r="AC69" i="18"/>
  <c r="AC70" i="18"/>
  <c r="AC71" i="18"/>
  <c r="AC72" i="18"/>
  <c r="AC73" i="18"/>
  <c r="AC74" i="18"/>
  <c r="AC75" i="18"/>
  <c r="AC76" i="18"/>
  <c r="AC77" i="18"/>
  <c r="AC78" i="18"/>
  <c r="AC79" i="18"/>
  <c r="AC80" i="18"/>
  <c r="AC81" i="18"/>
  <c r="AC82" i="18"/>
  <c r="AC83" i="18"/>
  <c r="AC84" i="18"/>
  <c r="AC85" i="18"/>
  <c r="AC86" i="18"/>
  <c r="AC87" i="18"/>
  <c r="AC88" i="18"/>
  <c r="AC89" i="18"/>
  <c r="AC90" i="18"/>
  <c r="AC91" i="18"/>
  <c r="AC92" i="18"/>
  <c r="AC93" i="18"/>
  <c r="AC94" i="18"/>
  <c r="AC95" i="18"/>
  <c r="AC96" i="18"/>
  <c r="AC97" i="18"/>
  <c r="AC2" i="18"/>
  <c r="J4" i="21"/>
  <c r="J5" i="21"/>
  <c r="J6" i="21"/>
  <c r="J9" i="21"/>
  <c r="J10" i="21"/>
  <c r="J11" i="21"/>
  <c r="J12" i="21"/>
  <c r="J13" i="21"/>
  <c r="J15" i="21"/>
  <c r="J19" i="21"/>
  <c r="J20" i="21"/>
  <c r="J21" i="21"/>
  <c r="J23" i="21"/>
  <c r="J27" i="21"/>
  <c r="J35" i="21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6" i="16"/>
  <c r="E58" i="16"/>
  <c r="E59" i="16"/>
  <c r="E62" i="16"/>
  <c r="E63" i="16"/>
  <c r="E64" i="16"/>
  <c r="E65" i="16"/>
  <c r="E66" i="16"/>
  <c r="E67" i="16"/>
  <c r="E69" i="16"/>
  <c r="E70" i="16"/>
  <c r="E71" i="16"/>
  <c r="E72" i="16"/>
  <c r="E73" i="16"/>
  <c r="E74" i="16"/>
  <c r="E75" i="16"/>
  <c r="E77" i="16"/>
  <c r="E78" i="16"/>
  <c r="E79" i="16"/>
  <c r="E80" i="16"/>
  <c r="E81" i="16"/>
  <c r="E82" i="16"/>
  <c r="E83" i="16"/>
  <c r="E84" i="16"/>
  <c r="E88" i="16"/>
  <c r="E89" i="16"/>
  <c r="E90" i="16"/>
  <c r="E91" i="16"/>
  <c r="E92" i="16"/>
  <c r="E94" i="16"/>
  <c r="E97" i="16"/>
  <c r="E98" i="16"/>
  <c r="E101" i="16"/>
  <c r="E102" i="16"/>
  <c r="E104" i="16"/>
  <c r="E2" i="16"/>
  <c r="D2" i="14" a="1"/>
  <c r="A1" i="22"/>
  <c r="A2" i="14"/>
  <c r="E107" i="16"/>
  <c r="J28" i="21"/>
  <c r="J34" i="21"/>
  <c r="J33" i="21"/>
  <c r="J25" i="21"/>
  <c r="J18" i="21"/>
  <c r="J16" i="21"/>
  <c r="J22" i="21"/>
  <c r="E103" i="16"/>
  <c r="E86" i="16"/>
  <c r="E85" i="16"/>
  <c r="E61" i="16"/>
  <c r="H2" i="20" l="1" a="1"/>
  <c r="G2" i="20" a="1"/>
  <c r="F2" i="20" a="1"/>
  <c r="B2" i="20" a="1"/>
  <c r="J47" i="21"/>
  <c r="K47" i="21" a="1"/>
  <c r="J46" i="21"/>
  <c r="J45" i="21"/>
  <c r="K46" i="21" a="1"/>
  <c r="E112" i="16"/>
  <c r="K45" i="21" a="1"/>
  <c r="K43" i="21" a="1"/>
  <c r="K42" i="21" a="1"/>
  <c r="J40" i="21"/>
  <c r="J41" i="21"/>
  <c r="K41" i="21" a="1"/>
  <c r="K40" i="21" a="1"/>
  <c r="J39" i="21"/>
  <c r="K39" i="21" a="1"/>
  <c r="J37" i="21"/>
  <c r="J38" i="21"/>
  <c r="J36" i="21"/>
  <c r="K44" i="21" a="1"/>
  <c r="E108" i="16"/>
  <c r="E109" i="16"/>
  <c r="J42" i="21"/>
  <c r="J43" i="21"/>
  <c r="K38" i="21" a="1"/>
  <c r="K37" i="21" a="1"/>
  <c r="E110" i="16"/>
  <c r="E111" i="16"/>
  <c r="E99" i="16"/>
  <c r="J44" i="21"/>
  <c r="K34" i="21" a="1"/>
  <c r="K30" i="21" a="1"/>
  <c r="K26" i="21" a="1"/>
  <c r="K22" i="21" a="1"/>
  <c r="K18" i="21" a="1"/>
  <c r="K14" i="21" a="1"/>
  <c r="K10" i="21" a="1"/>
  <c r="K6" i="21" a="1"/>
  <c r="K33" i="21" a="1"/>
  <c r="K29" i="21" a="1"/>
  <c r="K25" i="21" a="1"/>
  <c r="K21" i="21" a="1"/>
  <c r="K17" i="21" a="1"/>
  <c r="K13" i="21" a="1"/>
  <c r="K9" i="21" a="1"/>
  <c r="K5" i="21" a="1"/>
  <c r="E106" i="16"/>
  <c r="K2" i="21" a="1"/>
  <c r="K32" i="21" a="1"/>
  <c r="K28" i="21" a="1"/>
  <c r="K24" i="21" a="1"/>
  <c r="K16" i="21" a="1"/>
  <c r="K12" i="21" a="1"/>
  <c r="K8" i="21" a="1"/>
  <c r="K4" i="21" a="1"/>
  <c r="K20" i="21" a="1"/>
  <c r="K35" i="21" a="1"/>
  <c r="K31" i="21" a="1"/>
  <c r="K27" i="21" a="1"/>
  <c r="K23" i="21" a="1"/>
  <c r="K19" i="21" a="1"/>
  <c r="K15" i="21" a="1"/>
  <c r="K11" i="21" a="1"/>
  <c r="K7" i="21" a="1"/>
  <c r="K3" i="21" a="1"/>
  <c r="J17" i="21"/>
  <c r="J26" i="21"/>
  <c r="J32" i="21"/>
  <c r="J8" i="21"/>
  <c r="J31" i="21"/>
  <c r="J7" i="21"/>
  <c r="J30" i="21"/>
  <c r="J14" i="21"/>
  <c r="J29" i="21"/>
  <c r="J2" i="21"/>
  <c r="J3" i="21"/>
  <c r="E105" i="16"/>
  <c r="E57" i="16"/>
  <c r="E96" i="16"/>
  <c r="E95" i="16"/>
  <c r="E87" i="16"/>
  <c r="J24" i="21"/>
  <c r="E100" i="16"/>
  <c r="E76" i="16"/>
  <c r="E68" i="16"/>
  <c r="E60" i="16"/>
  <c r="A3" i="22" a="1"/>
  <c r="K36" i="21" a="1"/>
  <c r="E55" i="16"/>
  <c r="A2" i="19" l="1" a="1"/>
  <c r="C3" i="22" a="1"/>
  <c r="B3" i="22" a="1"/>
  <c r="F3" i="22" a="1"/>
  <c r="H3" i="22" a="1"/>
  <c r="I2" i="19" l="1" a="1"/>
  <c r="F2" i="19" a="1"/>
  <c r="J2" i="19" a="1"/>
  <c r="B2" i="19" a="1"/>
  <c r="E3" i="22" a="1"/>
  <c r="D3" i="22" a="1"/>
  <c r="G3" i="22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<sst xmlns="http://schemas.openxmlformats.org/spreadsheetml/2006/main" count="7933" uniqueCount="3764">
  <si>
    <t>대학</t>
  </si>
  <si>
    <t>여자</t>
  </si>
  <si>
    <t>FA</t>
  </si>
  <si>
    <t>씨나인</t>
  </si>
  <si>
    <t>주하랑</t>
  </si>
  <si>
    <t>졈니</t>
  </si>
  <si>
    <t>저그</t>
  </si>
  <si>
    <t>토마토</t>
  </si>
  <si>
    <t>YB</t>
  </si>
  <si>
    <t>케이대</t>
  </si>
  <si>
    <t>유스</t>
  </si>
  <si>
    <t>다예</t>
  </si>
  <si>
    <t>이노대</t>
  </si>
  <si>
    <t>소주양</t>
  </si>
  <si>
    <t>강덕구</t>
  </si>
  <si>
    <t>뉴캣슬</t>
  </si>
  <si>
    <t>진땅콩</t>
  </si>
  <si>
    <t>세나</t>
  </si>
  <si>
    <t>휴면</t>
  </si>
  <si>
    <t>엠비대</t>
  </si>
  <si>
    <t>햇살</t>
  </si>
  <si>
    <t>효짱</t>
  </si>
  <si>
    <t>디임</t>
  </si>
  <si>
    <t>임조이</t>
  </si>
  <si>
    <t>하두링</t>
  </si>
  <si>
    <t>치리</t>
  </si>
  <si>
    <t>나예리</t>
  </si>
  <si>
    <t>수술대</t>
  </si>
  <si>
    <t>정선대</t>
  </si>
  <si>
    <t>JSA</t>
  </si>
  <si>
    <t>앵지</t>
  </si>
  <si>
    <t>한쪼니</t>
  </si>
  <si>
    <t>늪지대</t>
  </si>
  <si>
    <t>두디</t>
  </si>
  <si>
    <t>흑카데미</t>
  </si>
  <si>
    <t>와플대</t>
  </si>
  <si>
    <t>아라미</t>
  </si>
  <si>
    <t>파이</t>
  </si>
  <si>
    <t>수장</t>
  </si>
  <si>
    <t>모리</t>
  </si>
  <si>
    <t>막내현진</t>
  </si>
  <si>
    <t>송혜림</t>
  </si>
  <si>
    <t>철구</t>
  </si>
  <si>
    <t>남자</t>
  </si>
  <si>
    <t>케이</t>
  </si>
  <si>
    <t>염보성</t>
  </si>
  <si>
    <t>시조새</t>
  </si>
  <si>
    <t>기뉴다</t>
  </si>
  <si>
    <t>김윤중</t>
  </si>
  <si>
    <t>와이퍼</t>
  </si>
  <si>
    <t>김윤환</t>
  </si>
  <si>
    <t>정중만</t>
  </si>
  <si>
    <t>정윤종</t>
  </si>
  <si>
    <t>쌍디</t>
  </si>
  <si>
    <t>이경민</t>
  </si>
  <si>
    <t>박준오</t>
  </si>
  <si>
    <t>신상문</t>
  </si>
  <si>
    <t>이소룡</t>
  </si>
  <si>
    <t>조일장</t>
  </si>
  <si>
    <t>황병영</t>
  </si>
  <si>
    <t>전상욱</t>
  </si>
  <si>
    <t>지동원</t>
  </si>
  <si>
    <t>수입뿌드</t>
  </si>
  <si>
    <t>배병우</t>
  </si>
  <si>
    <t>몽군</t>
  </si>
  <si>
    <t>박성진</t>
  </si>
  <si>
    <t>파도튜브</t>
  </si>
  <si>
    <t>송병구</t>
  </si>
  <si>
    <t>이름</t>
    <phoneticPr fontId="1" type="noConversion"/>
  </si>
  <si>
    <t>토마토</t>
    <phoneticPr fontId="1" type="noConversion"/>
  </si>
  <si>
    <t>생년월일</t>
    <phoneticPr fontId="1" type="noConversion"/>
  </si>
  <si>
    <t>시작일</t>
    <phoneticPr fontId="1" type="noConversion"/>
  </si>
  <si>
    <t>여자</t>
    <phoneticPr fontId="1" type="noConversion"/>
  </si>
  <si>
    <t xml:space="preserve"> </t>
    <phoneticPr fontId="1" type="noConversion"/>
  </si>
  <si>
    <t xml:space="preserve">  </t>
    <phoneticPr fontId="1" type="noConversion"/>
  </si>
  <si>
    <t>시즌</t>
    <phoneticPr fontId="1" type="noConversion"/>
  </si>
  <si>
    <t>S1</t>
    <phoneticPr fontId="1" type="noConversion"/>
  </si>
  <si>
    <t>S2</t>
    <phoneticPr fontId="1" type="noConversion"/>
  </si>
  <si>
    <t>S3</t>
    <phoneticPr fontId="1" type="noConversion"/>
  </si>
  <si>
    <t>S4</t>
    <phoneticPr fontId="1" type="noConversion"/>
  </si>
  <si>
    <t>창단일</t>
  </si>
  <si>
    <t>해체일</t>
    <phoneticPr fontId="1" type="noConversion"/>
  </si>
  <si>
    <t>기간</t>
    <phoneticPr fontId="1" type="noConversion"/>
  </si>
  <si>
    <t>우승</t>
    <phoneticPr fontId="1" type="noConversion"/>
  </si>
  <si>
    <t>김성여대</t>
    <phoneticPr fontId="1" type="noConversion"/>
  </si>
  <si>
    <t>김성대</t>
    <phoneticPr fontId="1" type="noConversion"/>
  </si>
  <si>
    <t>우끼끼즈</t>
  </si>
  <si>
    <t>캄브릿지</t>
  </si>
  <si>
    <t>배병대</t>
  </si>
  <si>
    <t>학버드</t>
    <phoneticPr fontId="1" type="noConversion"/>
  </si>
  <si>
    <t>김학수</t>
    <phoneticPr fontId="1" type="noConversion"/>
  </si>
  <si>
    <t>떡잎방범대</t>
  </si>
  <si>
    <t>짱구짱</t>
  </si>
  <si>
    <t>점문대</t>
  </si>
  <si>
    <t>마종대</t>
  </si>
  <si>
    <t>송균관대</t>
  </si>
  <si>
    <t>염석대</t>
  </si>
  <si>
    <t>염보성</t>
    <phoneticPr fontId="1" type="noConversion"/>
  </si>
  <si>
    <t>범진대</t>
  </si>
  <si>
    <t>바스포드</t>
  </si>
  <si>
    <t>감스트</t>
  </si>
  <si>
    <t>캄성여대</t>
  </si>
  <si>
    <t>파이스트</t>
  </si>
  <si>
    <t>뽀그와트</t>
  </si>
  <si>
    <t>뽀누나</t>
    <phoneticPr fontId="1" type="noConversion"/>
  </si>
  <si>
    <t>철구</t>
    <phoneticPr fontId="1" type="noConversion"/>
  </si>
  <si>
    <t>NSU</t>
  </si>
  <si>
    <t>남순</t>
  </si>
  <si>
    <t>카사대</t>
  </si>
  <si>
    <t>무친대</t>
  </si>
  <si>
    <t>김봉준</t>
  </si>
  <si>
    <t>갈리텍</t>
  </si>
  <si>
    <t>보신대</t>
  </si>
  <si>
    <t>갓성은</t>
  </si>
  <si>
    <t>MSG</t>
    <phoneticPr fontId="1" type="noConversion"/>
  </si>
  <si>
    <t>빵훈이</t>
    <phoneticPr fontId="1" type="noConversion"/>
  </si>
  <si>
    <t>미다스공대</t>
    <phoneticPr fontId="1" type="noConversion"/>
  </si>
  <si>
    <t>아마대</t>
  </si>
  <si>
    <t>츠나대</t>
  </si>
  <si>
    <t>라저대</t>
  </si>
  <si>
    <t>박태민</t>
    <phoneticPr fontId="1" type="noConversion"/>
  </si>
  <si>
    <t>DP</t>
  </si>
  <si>
    <t>라이트클럽</t>
  </si>
  <si>
    <t>점단기</t>
  </si>
  <si>
    <t>철기구치소</t>
  </si>
  <si>
    <t>TPZ</t>
  </si>
  <si>
    <t>흑운장</t>
    <phoneticPr fontId="1" type="noConversion"/>
  </si>
  <si>
    <t>석사관</t>
  </si>
  <si>
    <t>JSA</t>
    <phoneticPr fontId="1" type="noConversion"/>
  </si>
  <si>
    <t>니칸</t>
  </si>
  <si>
    <t>거루</t>
  </si>
  <si>
    <t>할없녀</t>
  </si>
  <si>
    <t>야인스대</t>
  </si>
  <si>
    <t>케이대</t>
    <phoneticPr fontId="1" type="noConversion"/>
  </si>
  <si>
    <t>방치클럽</t>
  </si>
  <si>
    <t>철거반</t>
  </si>
  <si>
    <t>무창클럽</t>
  </si>
  <si>
    <t>섭이대</t>
    <phoneticPr fontId="1" type="noConversion"/>
  </si>
  <si>
    <t>섭이</t>
    <phoneticPr fontId="1" type="noConversion"/>
  </si>
  <si>
    <t>씨나인</t>
    <phoneticPr fontId="1" type="noConversion"/>
  </si>
  <si>
    <t>복덕방</t>
  </si>
  <si>
    <t>패션스타</t>
  </si>
  <si>
    <t>노가다대</t>
  </si>
  <si>
    <t>노가다간</t>
  </si>
  <si>
    <t>소림사</t>
  </si>
  <si>
    <t>장독대</t>
  </si>
  <si>
    <t>정선대</t>
    <phoneticPr fontId="1" type="noConversion"/>
  </si>
  <si>
    <t>박퍼니</t>
    <phoneticPr fontId="1" type="noConversion"/>
  </si>
  <si>
    <t>이노대</t>
    <phoneticPr fontId="1" type="noConversion"/>
  </si>
  <si>
    <t>김인호</t>
    <phoneticPr fontId="1" type="noConversion"/>
  </si>
  <si>
    <t>광수대</t>
  </si>
  <si>
    <t>ASG</t>
  </si>
  <si>
    <t>혁민</t>
  </si>
  <si>
    <t>뽀인구단</t>
    <phoneticPr fontId="1" type="noConversion"/>
  </si>
  <si>
    <t>SOOP ID</t>
    <phoneticPr fontId="1" type="noConversion"/>
  </si>
  <si>
    <t>ELO ID</t>
    <phoneticPr fontId="1" type="noConversion"/>
  </si>
  <si>
    <t>성별</t>
    <phoneticPr fontId="1" type="noConversion"/>
  </si>
  <si>
    <t>종족</t>
    <phoneticPr fontId="1" type="noConversion"/>
  </si>
  <si>
    <t>활동 기간</t>
    <phoneticPr fontId="1" type="noConversion"/>
  </si>
  <si>
    <t>활동 시즌</t>
    <phoneticPr fontId="1" type="noConversion"/>
  </si>
  <si>
    <t>김윤환</t>
    <phoneticPr fontId="1" type="noConversion"/>
  </si>
  <si>
    <t>brainzerg7</t>
    <phoneticPr fontId="1" type="noConversion"/>
  </si>
  <si>
    <t>남자</t>
    <phoneticPr fontId="1" type="noConversion"/>
  </si>
  <si>
    <t>저그</t>
    <phoneticPr fontId="1" type="noConversion"/>
  </si>
  <si>
    <t>잭</t>
    <phoneticPr fontId="1" type="noConversion"/>
  </si>
  <si>
    <t>이경민</t>
    <phoneticPr fontId="1" type="noConversion"/>
  </si>
  <si>
    <t>프로토스</t>
    <phoneticPr fontId="1" type="noConversion"/>
  </si>
  <si>
    <t>디임</t>
    <phoneticPr fontId="1" type="noConversion"/>
  </si>
  <si>
    <t>졈니</t>
    <phoneticPr fontId="1" type="noConversion"/>
  </si>
  <si>
    <t>앵지</t>
    <phoneticPr fontId="1" type="noConversion"/>
  </si>
  <si>
    <t>임조이</t>
    <phoneticPr fontId="1" type="noConversion"/>
  </si>
  <si>
    <t>유스</t>
    <phoneticPr fontId="1" type="noConversion"/>
  </si>
  <si>
    <t>킹지</t>
    <phoneticPr fontId="1" type="noConversion"/>
  </si>
  <si>
    <t>효짱</t>
    <phoneticPr fontId="1" type="noConversion"/>
  </si>
  <si>
    <t>한쪼니</t>
    <phoneticPr fontId="1" type="noConversion"/>
  </si>
  <si>
    <t>몽군</t>
    <phoneticPr fontId="1" type="noConversion"/>
  </si>
  <si>
    <t>테란</t>
    <phoneticPr fontId="1" type="noConversion"/>
  </si>
  <si>
    <t>킹</t>
    <phoneticPr fontId="1" type="noConversion"/>
  </si>
  <si>
    <t>모리</t>
    <phoneticPr fontId="1" type="noConversion"/>
  </si>
  <si>
    <t>치리</t>
    <phoneticPr fontId="1" type="noConversion"/>
  </si>
  <si>
    <t>강덕구</t>
    <phoneticPr fontId="1" type="noConversion"/>
  </si>
  <si>
    <t>수입뿌드</t>
    <phoneticPr fontId="1" type="noConversion"/>
  </si>
  <si>
    <t>박준오</t>
    <phoneticPr fontId="1" type="noConversion"/>
  </si>
  <si>
    <t>정윤종</t>
    <phoneticPr fontId="1" type="noConversion"/>
  </si>
  <si>
    <t>갓</t>
    <phoneticPr fontId="1" type="noConversion"/>
  </si>
  <si>
    <t>세나</t>
    <phoneticPr fontId="1" type="noConversion"/>
  </si>
  <si>
    <t>다예</t>
    <phoneticPr fontId="1" type="noConversion"/>
  </si>
  <si>
    <t>송혜림</t>
    <phoneticPr fontId="1" type="noConversion"/>
  </si>
  <si>
    <t>막내현진</t>
    <phoneticPr fontId="1" type="noConversion"/>
  </si>
  <si>
    <t>지동원</t>
    <phoneticPr fontId="1" type="noConversion"/>
  </si>
  <si>
    <t>황병영</t>
    <phoneticPr fontId="1" type="noConversion"/>
  </si>
  <si>
    <t>진땅콩</t>
    <phoneticPr fontId="1" type="noConversion"/>
  </si>
  <si>
    <t>두디</t>
    <phoneticPr fontId="1" type="noConversion"/>
  </si>
  <si>
    <t>조일장</t>
    <phoneticPr fontId="1" type="noConversion"/>
  </si>
  <si>
    <t>주하랑</t>
    <phoneticPr fontId="1" type="noConversion"/>
  </si>
  <si>
    <t>햇살</t>
    <phoneticPr fontId="1" type="noConversion"/>
  </si>
  <si>
    <t>소주양</t>
    <phoneticPr fontId="1" type="noConversion"/>
  </si>
  <si>
    <t>파도튜브</t>
    <phoneticPr fontId="1" type="noConversion"/>
  </si>
  <si>
    <t>스페이드</t>
    <phoneticPr fontId="1" type="noConversion"/>
  </si>
  <si>
    <t>날짜</t>
  </si>
  <si>
    <t>상대팀</t>
  </si>
  <si>
    <t>형식</t>
  </si>
  <si>
    <t>펀딩</t>
    <phoneticPr fontId="1" type="noConversion"/>
  </si>
  <si>
    <t>지원금</t>
    <phoneticPr fontId="1" type="noConversion"/>
  </si>
  <si>
    <t>사비(콩)</t>
    <phoneticPr fontId="1" type="noConversion"/>
  </si>
  <si>
    <t>사비(풍)</t>
    <phoneticPr fontId="1" type="noConversion"/>
  </si>
  <si>
    <t>1R</t>
  </si>
  <si>
    <t>2R</t>
  </si>
  <si>
    <t>3R</t>
  </si>
  <si>
    <t>4R</t>
  </si>
  <si>
    <t>5R</t>
  </si>
  <si>
    <t>6R</t>
  </si>
  <si>
    <t>7R</t>
  </si>
  <si>
    <t>8R</t>
  </si>
  <si>
    <t>9R</t>
  </si>
  <si>
    <t>10R</t>
  </si>
  <si>
    <t>11R</t>
    <phoneticPr fontId="1" type="noConversion"/>
  </si>
  <si>
    <t>12R</t>
    <phoneticPr fontId="1" type="noConversion"/>
  </si>
  <si>
    <t>13R</t>
    <phoneticPr fontId="1" type="noConversion"/>
  </si>
  <si>
    <t>슈에</t>
    <phoneticPr fontId="1" type="noConversion"/>
  </si>
  <si>
    <t>번외</t>
    <phoneticPr fontId="1" type="noConversion"/>
  </si>
  <si>
    <t>득실</t>
  </si>
  <si>
    <t>세트 결과</t>
  </si>
  <si>
    <t>최종 결과</t>
  </si>
  <si>
    <t>시즌1</t>
  </si>
  <si>
    <t>미니</t>
    <phoneticPr fontId="1" type="noConversion"/>
  </si>
  <si>
    <t>5/3 5/3 슈에</t>
  </si>
  <si>
    <t>디임 승
VS 모꿀몬 T
버미어</t>
  </si>
  <si>
    <t>김윤환 패
VS 정경두 P
폴리포이드</t>
  </si>
  <si>
    <t>이경민 승
VS 박재혁 Z
버미어</t>
  </si>
  <si>
    <t>졈니 승
VS 림예이 Z
버미어</t>
  </si>
  <si>
    <t>디임 패
VS 모꿀몬 T
폴리포이드</t>
  </si>
  <si>
    <t>김윤환 패
VS 정경두 P
라데온</t>
  </si>
  <si>
    <t>이경민 패
VS 박재혁 Z
라데온</t>
  </si>
  <si>
    <t>5/3</t>
    <phoneticPr fontId="1" type="noConversion"/>
  </si>
  <si>
    <t>김윤환 승
VS 프발 P
폴리포이드</t>
  </si>
  <si>
    <t>디임 패
VS 연다람지 T
버미어</t>
  </si>
  <si>
    <t>이경민 승
VS 박준오 Z
버미어</t>
  </si>
  <si>
    <t>졈니 패
VS 묘아 P
폴리포이드</t>
  </si>
  <si>
    <t>김윤환 승
VS 프발 P
라데온</t>
  </si>
  <si>
    <t>협의</t>
    <phoneticPr fontId="1" type="noConversion"/>
  </si>
  <si>
    <t>디임 패
VS 카히리 Z
폴리포이드</t>
  </si>
  <si>
    <t>졈니 패
VS 뿌리 P
폴리포이드</t>
  </si>
  <si>
    <t>김윤환 승
VS 원선재 P
버미어</t>
  </si>
  <si>
    <t>앵지 패
VS 연두 P
버미어</t>
  </si>
  <si>
    <t>앵지 승
VS 연두 P
폴리포이드</t>
  </si>
  <si>
    <t>디임 승
VS 카히리 Z
폴리포이드</t>
  </si>
  <si>
    <t>졈니 승
VS 뿌리 P
폴리포이드</t>
  </si>
  <si>
    <t>김윤환 패
VS 원선재 P
버미어</t>
  </si>
  <si>
    <t>7/4</t>
  </si>
  <si>
    <t>졈니 패
VS 태영 T
폴리포이드</t>
  </si>
  <si>
    <t>앵지 승
VS 무찌 T
폴리포이드</t>
  </si>
  <si>
    <t>디임 승
VS 양양 Z
폴리포이드</t>
  </si>
  <si>
    <t>앵지 승
VS 우리밍 T
버미어</t>
  </si>
  <si>
    <t>디임 패
VS 양양 Z
버미어</t>
  </si>
  <si>
    <t>졈니 패
VS 태영 T
버미어</t>
  </si>
  <si>
    <t>앵지 승
VS 무찌 T
버미어</t>
  </si>
  <si>
    <t>승리수당</t>
    <phoneticPr fontId="1" type="noConversion"/>
  </si>
  <si>
    <t>졈니 패
VS 햇살 T
버미어</t>
  </si>
  <si>
    <t>토마토 패
VS 공다츠 Z
폴리포이드</t>
  </si>
  <si>
    <t>앵지 승
VS 연두 P
라데온</t>
  </si>
  <si>
    <t>디임 승
VS 카히리 Z
시타델</t>
  </si>
  <si>
    <t>앵지 승
VS 연두 p
시타델</t>
  </si>
  <si>
    <t>토마토 승
VS 공다츠 Z
시타델</t>
  </si>
  <si>
    <t>앵지 승
VS 연두 P
버미어</t>
  </si>
  <si>
    <t>졈니 패
VS 햇살 T
라데온</t>
  </si>
  <si>
    <t>앵지 패
VS 연두 P
라데온</t>
  </si>
  <si>
    <t>앵지 패
VS 우리밍 T
시타델</t>
  </si>
  <si>
    <t>이경민 승
VS 유승곤 T
레트로</t>
  </si>
  <si>
    <t>김윤환 승
VS 지동원 T
아포칼립스</t>
  </si>
  <si>
    <t>앵지 승
VS 우리밍 T
시타델</t>
    <phoneticPr fontId="1" type="noConversion"/>
  </si>
  <si>
    <t>이경민 승
VS 지동원 T
라데온</t>
  </si>
  <si>
    <t>이경민 패
VS 지동원 T
라데온</t>
  </si>
  <si>
    <t>9/5</t>
    <phoneticPr fontId="1" type="noConversion"/>
  </si>
  <si>
    <t>앵지 패
VS 라미 Z
라데온</t>
  </si>
  <si>
    <t>강덕구 패
VS 주서리 P
라데온</t>
  </si>
  <si>
    <t>졈니 승
VS 란란 Z
폴리포이드</t>
  </si>
  <si>
    <t>토마토 패
VS 요닝 Z
버미어</t>
  </si>
  <si>
    <t>치리 승
VS 김채이 P
폴리포이드</t>
  </si>
  <si>
    <t>디임 패
VS 오리 P
버미어</t>
  </si>
  <si>
    <t>모리 패
VS 백갑숙 P
버미어</t>
  </si>
  <si>
    <t>CK</t>
    <phoneticPr fontId="1" type="noConversion"/>
  </si>
  <si>
    <t xml:space="preserve">9/5 </t>
    <phoneticPr fontId="1" type="noConversion"/>
  </si>
  <si>
    <t>김윤환 패
VS 지동원 T
데자뷰</t>
  </si>
  <si>
    <t>몽군 승
VS 박준오 Z
라데온</t>
  </si>
  <si>
    <t>강덕구 패
VS 강새이 P
폴리포이드</t>
  </si>
  <si>
    <t>졈니 승
VS 아라미 Z
라데온</t>
  </si>
  <si>
    <t>토마토 패
VS 나예리 T
버미어</t>
  </si>
  <si>
    <t>이경민 승
VS 김경모 Z
데자뷰</t>
  </si>
  <si>
    <t>토마토 승
VS 나예리 T
폴리포이드</t>
  </si>
  <si>
    <t>토마토 승
VS 나예리 T
라데온</t>
  </si>
  <si>
    <t>이경민 승
VS 전태양 T
라데온</t>
  </si>
  <si>
    <t>김윤환 승
VS 윤수철 P
몬티홀</t>
  </si>
  <si>
    <t>이경민 승
VS 전태양 T
판테온</t>
  </si>
  <si>
    <t>김윤환 승
VS 윤수철 P
데자뷰</t>
  </si>
  <si>
    <t>디임 패
VS 파찌 Z
버미어</t>
  </si>
  <si>
    <t>졈니 패
VS 오조은 T
폴리포이드</t>
  </si>
  <si>
    <t>토마토 패
VS 공다츠 Z
라데온</t>
  </si>
  <si>
    <t>임조이 승
VS 진자림 P
투혼</t>
  </si>
  <si>
    <t>앵지 패
VS 시조새 P
폴리포이드</t>
  </si>
  <si>
    <t>몽군 패
VS 원선재 P
판테온</t>
  </si>
  <si>
    <t>강덕구 패
VS 뿌리 P
폴리포이드</t>
  </si>
  <si>
    <t>졈니 패
VS 두디 Z
라데온</t>
  </si>
  <si>
    <t>모리 승
VS 치리 패
라데온</t>
  </si>
  <si>
    <t>한쪼니 패
VS 컴퓨터3 승
투혼</t>
    <phoneticPr fontId="1" type="noConversion"/>
  </si>
  <si>
    <t>졈니 패
VS 강덕구 승
버미어</t>
  </si>
  <si>
    <t>클템 T 패
VS 디임 승
폴리포이드</t>
    <phoneticPr fontId="1" type="noConversion"/>
  </si>
  <si>
    <t>앵지 패
VS 토마토 승
버미어</t>
  </si>
  <si>
    <t>정윤종 승
VS 몽군 패
킥백</t>
  </si>
  <si>
    <t>효짱 패
VS 임조이 승
투혼</t>
  </si>
  <si>
    <t>모리 승
VS 짱다 P
버미어</t>
  </si>
  <si>
    <t>효짱 패
VS 2라니 Z
투혼</t>
  </si>
  <si>
    <t>치리 패
VS 남수댕 P
라데온</t>
  </si>
  <si>
    <t>앵지 패
VS 빵리나 P
폴리포이드</t>
  </si>
  <si>
    <t>치리 패
VS 짱다 P
버미어</t>
  </si>
  <si>
    <t>앵지 패
VS 빵리나 P
라데온</t>
  </si>
  <si>
    <t>모리 패
VS 남수댕 P
폴리포이드</t>
  </si>
  <si>
    <t>졈니 승
VS 단양 Z
버미어</t>
  </si>
  <si>
    <t>모리 패
VS 진유성 P
폴리포이드</t>
  </si>
  <si>
    <t>임조이 패
VS 시먼지 T
투혼</t>
  </si>
  <si>
    <t>토마토 패
VS 쥬나 Z
라데온</t>
  </si>
  <si>
    <t>효짱 승
VS 브희 T
투혼</t>
  </si>
  <si>
    <t>이경민 패
VS 김경모 Z
데자뷰</t>
  </si>
  <si>
    <t>치리 승
VS 키모야 T
버미어</t>
  </si>
  <si>
    <t>토마토 승
VS 늑대채린 Z
버미어</t>
  </si>
  <si>
    <t>앵지 패
VS 김뽀뇨 P
라데온</t>
  </si>
  <si>
    <t>졈니 승
VS 규리야 T
버미어</t>
  </si>
  <si>
    <t>모리 패
VS 갓지니 P
라데온</t>
  </si>
  <si>
    <t>모리 패
VS 갓지니 P
폴리포이드</t>
  </si>
  <si>
    <t>졈니 패
VS 규리야 T
버미어</t>
  </si>
  <si>
    <t>디임 패
VS 방실이 Z
버미어</t>
  </si>
  <si>
    <t>모리 승
VS 빵미유 Z
라데온</t>
  </si>
  <si>
    <t>임조이 승
VS 주콩이 P
폴리포이드</t>
  </si>
  <si>
    <t>효짱 승
VS 김말랑 T
버미어</t>
  </si>
  <si>
    <t>모리 패
VS 빵미유 Z
폴리포이드</t>
  </si>
  <si>
    <t>임조이 승
VS 주콩이 P
버미어</t>
  </si>
  <si>
    <t>디임 승
VS 방실이 Z
라데온</t>
  </si>
  <si>
    <t>효짱 승
VS 김말랑 T
폴리포이드</t>
  </si>
  <si>
    <t>7/4 5/3 슈에</t>
  </si>
  <si>
    <t>수입뿌드 패
VS 따냥잉 T
폴리포이드</t>
  </si>
  <si>
    <t>박준오 패
VS 신상문 T
킥백</t>
  </si>
  <si>
    <t>김윤환 패
VS 윤수철 P
민스트럴</t>
  </si>
  <si>
    <t>몽군 승
VS 원선재 P
데자뷰</t>
  </si>
  <si>
    <t>이경민 패
VS 김경모 Z
도미네이터</t>
  </si>
  <si>
    <t>몽군 패
VS 김경모 Z
데자뷰</t>
  </si>
  <si>
    <t>수입뿌드 승
VS 따냥잉 T
폴리포이드</t>
  </si>
  <si>
    <t>김윤환 패
VS 원선재 P
판테온</t>
  </si>
  <si>
    <t>디임 승
VS 지두두 T
버미어</t>
  </si>
  <si>
    <t>앵지 패
VS 하리 P
라데온</t>
  </si>
  <si>
    <t>임조이 패
VS 뷰러 P
폴리포이드</t>
  </si>
  <si>
    <t>모리 패
VS 이아깽 T
폴리포이드</t>
  </si>
  <si>
    <t>치리 승
VS 으냉이 T
라데온</t>
  </si>
  <si>
    <t>졈니 패
VS 오조은 T
버미어</t>
  </si>
  <si>
    <t>졈니 승
VS 오조은 T
버미어</t>
  </si>
  <si>
    <t>치리 패
VS 으냉이 T
라데온</t>
  </si>
  <si>
    <t>시즌2</t>
  </si>
  <si>
    <t>정윤종 승
VS 유영진 T
민스트럴</t>
  </si>
  <si>
    <t>몽군 승
VS 김윤중 P
킥백</t>
  </si>
  <si>
    <t>졈니 승
VS 태영 T
버미어</t>
  </si>
  <si>
    <t>이경민 승
VS 박재혁 Z
도미네이터</t>
  </si>
  <si>
    <t>김윤환 승
VS 지동원 T
데자뷰</t>
  </si>
  <si>
    <t>디임 승
VS 럭뜨 Z
버미어</t>
  </si>
  <si>
    <t>김윤환 승
VS 배호딱 T
데자뷰</t>
  </si>
  <si>
    <t>모리 승
VS 얌쭈 Z
라데온</t>
  </si>
  <si>
    <t>효짱 승
VS 시먼지 T
버미어</t>
  </si>
  <si>
    <t>세나 패
VS 하블리 Z
폴리포이드</t>
  </si>
  <si>
    <t>모리 승
VS 얌쭈 Z
폴리포이드</t>
  </si>
  <si>
    <t>디임 패
VS 카히리 Z
라데온</t>
  </si>
  <si>
    <t>모리 승
VS 귀요민정 Z
폴리포이드</t>
  </si>
  <si>
    <t>임조이 패
VS 먼진 Z
폴리포이드</t>
  </si>
  <si>
    <t>임조이 승
VS 먼진 Z
폴리포이드</t>
  </si>
  <si>
    <t>졈니 패
VS 햇살 T
폴리포이드</t>
  </si>
  <si>
    <t>모리 패
VS 귀요민정 Z
버미어</t>
  </si>
  <si>
    <t>졈니 패
VS 규리야 T
폴리포이드</t>
  </si>
  <si>
    <t>토마토 패
VS 늑대채린 Z
도미네이터</t>
  </si>
  <si>
    <t>치리 승
VS 밍도릿 Z
데자뷰</t>
  </si>
  <si>
    <t>몽군 승
VS 홍덕 P
데자뷰</t>
  </si>
  <si>
    <t>토마토 승
VS 늑대채린 Z
도미네이터</t>
  </si>
  <si>
    <t>몽군 패
VS 홍덕 P
민스트럴</t>
  </si>
  <si>
    <t>치리 승
VS 밍도릿 Z
라데온</t>
  </si>
  <si>
    <t>토마토 패
VS 늑대채린 Z
라데온</t>
  </si>
  <si>
    <t>졈니 패
VS 규리야 T
라데온</t>
  </si>
  <si>
    <t>토마토 패
VS 늑대채린 Z
폴리포이드</t>
  </si>
  <si>
    <t>디임 승
VS 럭뜨 Z
라데온</t>
  </si>
  <si>
    <t>세나 승
VS 하블리 Z
데자뷰</t>
  </si>
  <si>
    <t>토마토 패
VS 소심 T
폴리포이드</t>
  </si>
  <si>
    <t>모리 승
VS 얌쭈 Z
도미네이터</t>
  </si>
  <si>
    <t>모리 패
VS 얌쭈 Z
폴리포이드</t>
  </si>
  <si>
    <t>토마토 패
VS 소심 T
도미네이터</t>
  </si>
  <si>
    <t>토마토 승
VS 소심 T
폴리포이드</t>
  </si>
  <si>
    <t>7/4</t>
    <phoneticPr fontId="1" type="noConversion"/>
  </si>
  <si>
    <t>치리 승
VS 짱다 P
라데온</t>
  </si>
  <si>
    <t>치리 승
VS 남수댕 P
폴리포이드</t>
  </si>
  <si>
    <t>치리 패
VS 짱다 P
데자뷰</t>
  </si>
  <si>
    <t>모리 승
VS 짱다 P
도미네이터</t>
  </si>
  <si>
    <t>모리 패
VS 남수댕 P
도미네이터</t>
  </si>
  <si>
    <t>치리 승
VS 남수댕 P
라데온</t>
  </si>
  <si>
    <t>앵지 승
VS 쥬나 Z
폴리포이드</t>
  </si>
  <si>
    <t>치리 승
VS 선정은 T
라데온</t>
  </si>
  <si>
    <t>세나 패
VS 또봉순 Z
도미네이터</t>
  </si>
  <si>
    <t>치리 승
VS 선정은 T
데자뷰</t>
  </si>
  <si>
    <t>앵지 승
VS 쥬나 Z
라데온</t>
  </si>
  <si>
    <t>효짱 패
VS 2라니 Z
라데온</t>
  </si>
  <si>
    <t>토마토 패
VS 빵리나 P
라데온</t>
  </si>
  <si>
    <t>졈니 승
VS 링고 P
도미네이터</t>
  </si>
  <si>
    <t>토마토 승
VS 림예이 Z
도미네이터</t>
  </si>
  <si>
    <t>디임 승
VS 모꿀몬 T
데자뷰</t>
  </si>
  <si>
    <t>디임 패
VS 모꿀몬 T
라데온</t>
  </si>
  <si>
    <t>대회</t>
    <phoneticPr fontId="1" type="noConversion"/>
  </si>
  <si>
    <t>치리 승
VS 갓지니 P
폴리포이드</t>
  </si>
  <si>
    <t>세나 승
VS 남덕선 Z
도미네이터</t>
  </si>
  <si>
    <t>졈니 패
VS 찌킹 Z
라데온</t>
  </si>
  <si>
    <t>임조이 승
VS 내가먼지 T
폴리포이드</t>
  </si>
  <si>
    <t>토마토 승
VS 김뽀뇨 P
라데온</t>
  </si>
  <si>
    <t>임조이 승
VS 엄보리 P
라데온</t>
  </si>
  <si>
    <t>토마토 승
VS 소심 T
데자뷰</t>
  </si>
  <si>
    <t>졈니 패
VS 정소이 Z
도미네이터</t>
  </si>
  <si>
    <t>디임 패
VS 럭뜨 Z
폴리포이드</t>
  </si>
  <si>
    <t>세나 승
VS 하블리 Z
폴리포이드</t>
  </si>
  <si>
    <t>효짱 승
VS 수니양 T
라데온</t>
  </si>
  <si>
    <t>졈니 승
VS 연애인 P
데자뷰</t>
  </si>
  <si>
    <t>치리 패
VS 선정은 T
폴리포이드</t>
  </si>
  <si>
    <t>모리 승
VS 진유성 P
데자뷰</t>
  </si>
  <si>
    <t>앵지 패
VS 쥬나 Z
라데온</t>
  </si>
  <si>
    <t>치리 승
VS 선정은 T
폴리포이드</t>
  </si>
  <si>
    <t>졈니 승
VS 찌킹 Z
폴리포이드</t>
  </si>
  <si>
    <t>모리 패
VS 갓지니 P
도미네이터</t>
  </si>
  <si>
    <t>디임 승
VS 슬돌이 P
폴리포이드</t>
  </si>
  <si>
    <t>임조이 승
VS 내가먼지 T
라데온</t>
    <phoneticPr fontId="1" type="noConversion"/>
  </si>
  <si>
    <t>앵지 패
VS 김뽀뇨 P
데자뷰</t>
  </si>
  <si>
    <t>디임 승
VS 야리 Z
도미네이터</t>
  </si>
  <si>
    <t>세나 승
VS 애공 P
폴리포이드</t>
  </si>
  <si>
    <t>앵지 승
VS 나예리 T
데자뷰</t>
  </si>
  <si>
    <t>토마토 패
VS 구보라 P
라데온</t>
  </si>
  <si>
    <t>효짱 승
VS 비타밍 T
폴리포이드</t>
  </si>
  <si>
    <t>치리 패
VS 김채이 P
폴리포이드</t>
  </si>
  <si>
    <t>졈니 승
VS 설둥이 P
폴리포이드</t>
  </si>
  <si>
    <t>토마토 패
VS 오조은 T
라데온</t>
  </si>
  <si>
    <t>모리 패
VS 남수댕 P
라데온</t>
  </si>
  <si>
    <t>졈니 승
VS 강덕구 T
데자뷰</t>
  </si>
  <si>
    <t>한쪼니 패
VS 오리꿍 Z
폴리포이드</t>
  </si>
  <si>
    <t>임조이 패
VS 짱다 P
데자뷰</t>
  </si>
  <si>
    <t>몽군 승
VS 전태양 T
폴스타</t>
  </si>
  <si>
    <t>효짱 패
VS 2라니 Z
폴리포이드</t>
  </si>
  <si>
    <t>효짱 패
VS 내가먼지 T
폴리포이드</t>
  </si>
  <si>
    <t>토마토 패
VS 찌킹 Z
데자뷰</t>
  </si>
  <si>
    <t>임조이 패
VS 양유정 P
라데온</t>
  </si>
  <si>
    <t>앵지 패
VS 규리야 T
라데온</t>
  </si>
  <si>
    <t>모리 패
VS 밍도릿 Z
데자뷰</t>
  </si>
  <si>
    <t>임조이 패
VS 양유정 P
이클립스</t>
  </si>
  <si>
    <t>효짱 패
VS 선정은 T
이클립스</t>
  </si>
  <si>
    <t>한쪼니 패
VS 엘퀸 T
데자뷰</t>
  </si>
  <si>
    <t>졈니 승
VS 두디 Z
라데온</t>
  </si>
  <si>
    <t>앵지 승
VS 빵리나 P
폴리포이드</t>
  </si>
  <si>
    <t>한쪼니 승
VS 은서 P
라데온</t>
  </si>
  <si>
    <t>졈니 패
VS 두디 Z
이클립스</t>
  </si>
  <si>
    <t>효짱 패
VS 선정은 T
폴리포이드</t>
  </si>
  <si>
    <t>한쪼니 패
VS 은서 P
데자뷰</t>
  </si>
  <si>
    <t>임조이 패
VS 진유성 P
이클립스</t>
  </si>
  <si>
    <t>효짱 패
VS 메옹 T
데자뷰</t>
  </si>
  <si>
    <t>모리 승
VS 백갑숙 P 
라데온</t>
  </si>
  <si>
    <t>한쪼니 패
VS 예빈 Z
폴리포이드</t>
  </si>
  <si>
    <t>효짱 패
VS 메옹 T
폴리포이드</t>
  </si>
  <si>
    <t>모리 승
VS 백갑숙 P 
데자뷰</t>
  </si>
  <si>
    <t>임조이 패
VS 진유성 P
라데온</t>
  </si>
  <si>
    <t>한쪼니 승
VS 예빈 Z
이클립스</t>
  </si>
  <si>
    <t>모리 패
VS 백갑숙 P 
라데온</t>
  </si>
  <si>
    <t>임조이 패
VS 으냉이 T
데자뷰</t>
  </si>
  <si>
    <t>세나 승
VS 혜로로 Z
폴리포이드</t>
  </si>
  <si>
    <t>한쪼니 패
VS 쟈닌 Z
데자뷰</t>
  </si>
  <si>
    <t>토마토 승
VS 햇살 T
이클립스</t>
  </si>
  <si>
    <t>토마토 승
VS 햇살 T
폴리포이드</t>
  </si>
  <si>
    <t>졈니 패
VS 아라미 Z
폴리포이드</t>
  </si>
  <si>
    <t>한쪼니 승
VS 쟈닌 Z
라데온</t>
  </si>
  <si>
    <t>세나 승
VS 혜로로 Z
이클립스</t>
  </si>
  <si>
    <t>다예 승
VS 기나 P
이클립스</t>
  </si>
  <si>
    <t>앵지 패
VS 성예량 P
데자뷰</t>
  </si>
  <si>
    <t>임조이 패
VS 빵미유 Z
라데온</t>
  </si>
  <si>
    <t>한쪼니 패
VS 핑핑 Z
폴리포이드</t>
  </si>
  <si>
    <t>임조이 패
VS 빵미유 Z
폴리포이드</t>
  </si>
  <si>
    <t>다예 승
VS 기나 P
라데온</t>
  </si>
  <si>
    <t>한쪼니 패
VS 핑핑 Z
이클립스</t>
  </si>
  <si>
    <t>효짱 승
VS 혜지연 T
이클립스</t>
  </si>
  <si>
    <t>세나 승
VS 또봉순 Z
데자뷰</t>
  </si>
  <si>
    <t>한쪼니 패
VS 옥이 Z
라데온</t>
  </si>
  <si>
    <t>다예 패
VS 최하니 P
폴리포이드</t>
  </si>
  <si>
    <t>모리 패
VS 따뜻 P
이클립스</t>
  </si>
  <si>
    <t>세나 패
VS 또봉순 Z
라데온</t>
  </si>
  <si>
    <t>효짱 승
VS 혜지연 T
데자뷰</t>
  </si>
  <si>
    <t>다예 패
VS 최하니 P
이클립스</t>
  </si>
  <si>
    <t>모리 승
VS 따뜻 P
데자뷰</t>
  </si>
  <si>
    <t>한쪼니 승
VS 옥이 Z
폴리포이드</t>
  </si>
  <si>
    <t>세나 승
VS 또봉순 Z
라데온</t>
  </si>
  <si>
    <t>세나 승
VS 다나짱 P
폴리포이드</t>
  </si>
  <si>
    <t>한쪼니 패
VS 뷰러 Z
라데온</t>
  </si>
  <si>
    <t>다예 패
VS 구보라 P
이클립스</t>
  </si>
  <si>
    <t>졈니 승
VS 나린 Z
이클립스</t>
  </si>
  <si>
    <t>모리 패
VS 김채이 P
데자뷰</t>
  </si>
  <si>
    <t>모리 승
VS 김채이 P
데자뷰</t>
  </si>
  <si>
    <t>세나 승
VS 다나짱 P
라데온</t>
  </si>
  <si>
    <t>졈니 패
VS 나린 Z
이클립스</t>
  </si>
  <si>
    <t>다예 승
VS 구보라 P
폴리포이드</t>
  </si>
  <si>
    <t>다예 패
VS 박듀듀 P
데자뷰</t>
  </si>
  <si>
    <t>졈니 승
VS 몽순 Z
라데온</t>
  </si>
  <si>
    <t>한쪼니 승
VS 윤진 P
이클립스</t>
  </si>
  <si>
    <t>모리 패
VS 엄보리 P
라데온</t>
  </si>
  <si>
    <t>몽군 승
VS 이영한 Z
폴스타</t>
  </si>
  <si>
    <t>앵지 패
VS 하리 P
이클립스</t>
  </si>
  <si>
    <t>다예 승
VS 박듀듀 P
데자뷰</t>
  </si>
  <si>
    <t>효짱 승
VS 선정은 T
폴리포이드</t>
  </si>
  <si>
    <t>한쪼니 패
VS 먼진 Z
데자뷰</t>
  </si>
  <si>
    <t>토마토 승
VS 소심 T
이클립스</t>
  </si>
  <si>
    <t>졈니 승
VS 두디 Z
이클립스</t>
  </si>
  <si>
    <t>토마토 패
VS 소심 T
이클립스</t>
  </si>
  <si>
    <t>한쪼니 패
VS 먼진 Z
폴리포이드</t>
  </si>
  <si>
    <t>앵지 패
VS 빵리나 P
데자뷰</t>
  </si>
  <si>
    <t>모리 승
VS 2라니 Z
라데온</t>
  </si>
  <si>
    <t>임조이 패
VS 남수댕 P
데자뷰</t>
  </si>
  <si>
    <t>토마토 승
VS 오조은 T
이클립스</t>
  </si>
  <si>
    <t>정윤종 승
VS 이영호 T
도미네이터</t>
  </si>
  <si>
    <t>졈니 패
VS 깨림이 T
데자뷰</t>
  </si>
  <si>
    <t>정윤종 승
VS 이영호 T
폴스타</t>
  </si>
  <si>
    <t>임조이 패
VS 남수댕 P
폴리포이드</t>
  </si>
  <si>
    <t>모리 승
VS 2라니 Z
이클립스</t>
  </si>
  <si>
    <t>정윤종 패
VS 이재호 T
도미네이터</t>
  </si>
  <si>
    <t>모리 패
VS 박하악 Z
데자뷰</t>
  </si>
  <si>
    <t>졈니 패
VS 태영 T
데자뷰</t>
  </si>
  <si>
    <t>토마토 패
VS 무찌 T
라데온</t>
  </si>
  <si>
    <t>세나 패
VS 남덕선 Z
데자뷰</t>
  </si>
  <si>
    <t>임조이 패
VS 남수댕 P
라데온</t>
  </si>
  <si>
    <t>7/4 7/4 슈에</t>
    <phoneticPr fontId="1" type="noConversion"/>
  </si>
  <si>
    <t>김윤환 승
VS 정민기 T
데자뷰</t>
  </si>
  <si>
    <t>몽군 패
VS 김윤중 P
이클립스</t>
  </si>
  <si>
    <t>수입뿌드 승
VS 따냥잉 T
버미어</t>
  </si>
  <si>
    <t>정윤종 패
VS 조일장 Z
폴리포이드</t>
  </si>
  <si>
    <t>박준오 승
VS 사테 T
라데온</t>
  </si>
  <si>
    <t>몽군 승
VS 김윤중 P
라데온</t>
  </si>
  <si>
    <t>김윤환 패
VS 정민기 T
도미네이터</t>
  </si>
  <si>
    <t>정윤종 패
VS 조일장 Z
폴스타</t>
  </si>
  <si>
    <t>박준오 패
VS 사테 T
메트로폴리스</t>
  </si>
  <si>
    <t>효짱 패
VS 으냉이 T
폴리포이드</t>
  </si>
  <si>
    <t>한쪼니 승
VS 하루묭 P
이클립스</t>
  </si>
  <si>
    <t>졈니 승
VS 아라미 Z
폴리포이드</t>
  </si>
  <si>
    <t>앵지 패
VS 햇살 T
라데온</t>
  </si>
  <si>
    <t>토마토 승
VS 공다츠 Z
라데온</t>
  </si>
  <si>
    <t>효짱 패
VS 비타밍 T
폴리포이드</t>
  </si>
  <si>
    <t>임조이 패
VS 비타밍 T
데자뷰</t>
  </si>
  <si>
    <t>모리 패
VS 비타밍 T
라데온</t>
  </si>
  <si>
    <t>한쪼니 승
VS 김말랑 T
폴리포이드</t>
  </si>
  <si>
    <t>졈니 승
VS 오하얀 T
라데온</t>
  </si>
  <si>
    <t>다예 패
VS 히엉 T
이클립스</t>
  </si>
  <si>
    <t>효짱 패
VS 제티 T
라데온</t>
  </si>
  <si>
    <t>이경민 승
VS 만두호성 T
데자뷰</t>
  </si>
  <si>
    <t>세나 승
VS 우힝 T
이클립스</t>
  </si>
  <si>
    <t>졈니 승
VS 단양 Z
이클립스</t>
  </si>
  <si>
    <t>토마토 승
VS 연애인 P
라데온</t>
  </si>
  <si>
    <t>임조이 패
VS 안부 P
데자뷰</t>
  </si>
  <si>
    <t>다예 승
VS 뚜미 T
폴리포이드</t>
  </si>
  <si>
    <t>한쪼니 승
VS 수니양 T
이클립스</t>
  </si>
  <si>
    <t>졈니 승
VS 나린 Z
폴리포이드</t>
  </si>
  <si>
    <t>치리 패
VS 연수 T
라데온</t>
  </si>
  <si>
    <t>세나 승
VS 다나짱 P
이클립스</t>
  </si>
  <si>
    <t>한쪼니 패
VS 뷰러 Z
폴리포이드</t>
  </si>
  <si>
    <t>임조이 승
VS 김채이 P
라데온</t>
  </si>
  <si>
    <t>다예 승
VS 구보라 P
데자뷰</t>
  </si>
  <si>
    <t>졈니 승
VS 구루미 Z
라데온</t>
  </si>
  <si>
    <t>치리 승
VS 밍도릿 Z
폴리포이드</t>
  </si>
  <si>
    <t>다예 패
VS 모꿀몬 T
이클립스</t>
  </si>
  <si>
    <t>모리 패
VS 내가먼지 T
이클립스</t>
  </si>
  <si>
    <t>한쪼니 패
VS 또해영 Z
데자뷰</t>
  </si>
  <si>
    <t>토마토 승
VS 규리야 T
라데온</t>
  </si>
  <si>
    <t>김윤환 승
VS 만두호성 T
폴스타</t>
  </si>
  <si>
    <t>수입뿌드 패
VS 다린 T
라데온</t>
    <phoneticPr fontId="1" type="noConversion"/>
  </si>
  <si>
    <t>몽군 패
VS 이영한 Z
데자뷰</t>
  </si>
  <si>
    <t>이경민 패
VS 김경모 Z
이클립스</t>
  </si>
  <si>
    <t>박준오 패
VS 송병구 P
메트로폴리스</t>
  </si>
  <si>
    <t>다예 승
VS 소심 T
데자뷰</t>
  </si>
  <si>
    <t>토마토 승
VS 빵리나 P
폴리포이드</t>
  </si>
  <si>
    <t>임조이 승
VS 선정은 T
폴리포이드</t>
  </si>
  <si>
    <t>세나 패
VS 하블리 Z
라데온</t>
  </si>
  <si>
    <t>다예 승
VS 소심 T
라데온</t>
  </si>
  <si>
    <t>다예 승
VS 연두 P
라데온</t>
  </si>
  <si>
    <t>치리 패
VS 키링 P
폴리포이드</t>
  </si>
  <si>
    <t>토마토 승
VS 쥬나 Z
데자뷰</t>
  </si>
  <si>
    <t>졈니 승
VS 임밍지 P
폴리포이드</t>
  </si>
  <si>
    <t>한쪼니 패
VS 예빈 Z
데자뷰</t>
  </si>
  <si>
    <t>임조이 승
VS 진유성 P
데자뷰</t>
  </si>
  <si>
    <t>다예 승
VS 나예리 T
이클립스</t>
  </si>
  <si>
    <t>앵지 승
VS 림예이 Z
이클립스</t>
  </si>
  <si>
    <t>치리 패
VS 연수 T
데자뷰</t>
  </si>
  <si>
    <t>임조이 승
VS 비타밍 T
폴리포이드</t>
  </si>
  <si>
    <t>세나 패
VS 애공 P
폴리포이드</t>
  </si>
  <si>
    <t>모리 패
VS 빵미유 Z
데자뷰</t>
  </si>
  <si>
    <t>토마토 승
VS 슬아 Z
이클립스</t>
  </si>
  <si>
    <t>치리 패
VS 시녕뭉 Z
폴리포이드</t>
  </si>
  <si>
    <t>졈니 승
VS 금선 T
데자뷰</t>
  </si>
  <si>
    <t>다예 승
VS 기나 P
라데온</t>
    <phoneticPr fontId="1" type="noConversion"/>
  </si>
  <si>
    <t>다예 패
VS 기나 P
라데온</t>
    <phoneticPr fontId="1" type="noConversion"/>
  </si>
  <si>
    <t>앵지 패
VS 찌킹 Z
이클립스</t>
  </si>
  <si>
    <t>다예 승
VS 김뽀뇨 P
데자뷰</t>
  </si>
  <si>
    <t>모리 패
VS 김채이 P
이클립스</t>
  </si>
  <si>
    <t>치리 패
VS 하두링 P
라데온</t>
  </si>
  <si>
    <t>임조이 승
VS 메옹 T
폴리포이드</t>
  </si>
  <si>
    <t>앵지 패
VS 찌킹 Z
데자뷰</t>
  </si>
  <si>
    <t>임조이 패
VS 메옹 T
폴리포이드</t>
  </si>
  <si>
    <t>막내현진 승
VS 한쪼니 패
이클립스</t>
  </si>
  <si>
    <t>모리 패
VS 치리 승
라데온</t>
  </si>
  <si>
    <t>토마토 승
VS 앵지 패
라데온</t>
  </si>
  <si>
    <t>다예 패
VS 오리3 P 승
폴리포이드</t>
    <phoneticPr fontId="1" type="noConversion"/>
  </si>
  <si>
    <t>수입뿌드 승
VS 세나 패
이클립스</t>
  </si>
  <si>
    <t>박준오 승
VS 정윤종 패
라데온</t>
  </si>
  <si>
    <t>임조이 승
VS 효짱 패
데자뷰</t>
  </si>
  <si>
    <t>다예 승
VS 구보라 P
라데온</t>
  </si>
  <si>
    <t>앵지 승
VS 햇살 T
이클립스</t>
  </si>
  <si>
    <t>막내현진 패
VS 쟈닌 Z
폴리포이드</t>
  </si>
  <si>
    <t>막내현진 패
VS 쟈닌 Z
라데온</t>
  </si>
  <si>
    <t>앵지 패
VS 햇살 T
데자뷰</t>
  </si>
  <si>
    <t>다예 승
VS 구보라 P
이클립스</t>
  </si>
  <si>
    <t>앵지 승
VS 햇살 T
데자뷰</t>
  </si>
  <si>
    <t>5/3 7/4 슈에</t>
  </si>
  <si>
    <t>효짱 승
VS 내가먼지 T
데자뷰</t>
  </si>
  <si>
    <t>임조이 승
VS 밍가 P
라데온</t>
  </si>
  <si>
    <t>모리 승
VS 비타밍 T
이클립스</t>
  </si>
  <si>
    <t>모리 패
VS 핑핑 Z
이클립스</t>
  </si>
  <si>
    <t>효짱 패
VS 핑핑 Z
이클립스</t>
  </si>
  <si>
    <t>임조이 승
VS 핑핑 Z
라데온</t>
  </si>
  <si>
    <t>임조이 패
VS 비타밍 T
라데온</t>
  </si>
  <si>
    <t>임조이 패
VS 핑핑 Z
폴리포이드</t>
  </si>
  <si>
    <t>임조이 승
VS 키모야 T
라데온</t>
  </si>
  <si>
    <t>치리 승
VS 김설 Z
폴리포이드</t>
  </si>
  <si>
    <t>토마토 패
VS 렘레미 Z
데자뷰</t>
  </si>
  <si>
    <t>다예 승
VS 최하니 P
데자뷰</t>
  </si>
  <si>
    <t>졈니 승
VS 꼬니부깅 P
폴리포이드</t>
  </si>
  <si>
    <t>효짱 승
VS 빵미유 Z
폴리포이드</t>
  </si>
  <si>
    <t>모리 패
VS 사사삼 P
라데온</t>
  </si>
  <si>
    <t>모리 승
VS 빵미유 Z
데자뷰</t>
  </si>
  <si>
    <t>효짱 승
VS 사사삼 P
폴리포이드</t>
  </si>
  <si>
    <t>모리 승
VS 핑핑 Z
라데온</t>
  </si>
  <si>
    <t>11/6</t>
    <phoneticPr fontId="1" type="noConversion"/>
  </si>
  <si>
    <t>앵지 패
VS 규리야 T
이클립스</t>
  </si>
  <si>
    <t>졈니 승
VS 몽순 Z
데자뷰</t>
  </si>
  <si>
    <t>모리 승
VS 엄보리 P
폴리포이드</t>
  </si>
  <si>
    <t>치리 승
VS 하랑e P
폴리포이드</t>
  </si>
  <si>
    <t>한쪼니 승
VS 히추 T
데자뷰</t>
  </si>
  <si>
    <t>세나 패
VS 또봉순 Z
폴리포이드</t>
  </si>
  <si>
    <t>효짱 패
VS 엄보리 P
이클립스</t>
  </si>
  <si>
    <t>졈니 승
VS 태영 T
데자뷰</t>
  </si>
  <si>
    <t>토마토 승
VS 무찌 T
이클립스</t>
  </si>
  <si>
    <t>한쪼니 승
VS 먼진 Z
라데온</t>
  </si>
  <si>
    <t>치리 승
VS 주하랑 P
폴리포이드</t>
  </si>
  <si>
    <t>정윤종 패
VS 이재호 T
이클립스</t>
  </si>
  <si>
    <t>다예 패
VS 지두두 T
이클립스</t>
  </si>
  <si>
    <t>막내현진 승
VS 빵지니 T
데자뷰</t>
  </si>
  <si>
    <t>임조이 승
VS 짱다 P
라데온</t>
  </si>
  <si>
    <t>효짱 패
VS 남수댕 P
데자뷰</t>
  </si>
  <si>
    <t>졈니 패
VS 강덕구 T
이클립스</t>
  </si>
  <si>
    <t>막내현진 승
VS 오리꿍 Z
폴리포이드</t>
  </si>
  <si>
    <t>다예 패
VS 나무늘봉순 Z
데자뷰</t>
  </si>
  <si>
    <t>앵지 패
VS 요닝 Z
라데온</t>
  </si>
  <si>
    <t>치리 패
VS 소주양 T
폴리포이드</t>
  </si>
  <si>
    <t>시즌3</t>
  </si>
  <si>
    <t>박준오 패
VS 임진묵 T
폴스타</t>
  </si>
  <si>
    <t>이경민 승
VS 이예훈 Z
메트로폴리스</t>
  </si>
  <si>
    <t>황병영 패
VS 김성대 Z
메트로폴리스</t>
  </si>
  <si>
    <t>지동원 패
VS 어윤수 Z
라데온</t>
  </si>
  <si>
    <t>김윤환 패
VS 윤수철 P
라데온</t>
  </si>
  <si>
    <t>정윤종 승
VS 김지성 T
라데온</t>
  </si>
  <si>
    <t>조일장 승
VS 변현제 P
메트로폴리스</t>
  </si>
  <si>
    <t>지동원 패
VS 어윤수 Z
폴스타</t>
  </si>
  <si>
    <t>두디 승
VS 햇살 패
라데온</t>
  </si>
  <si>
    <t>모리 패
VS 임조이 승
데자뷰</t>
  </si>
  <si>
    <t>치리 패
VS 주하랑 승
폴스타</t>
  </si>
  <si>
    <t>이경민 패
VS 김윤환 승
폴스타</t>
  </si>
  <si>
    <t>막내현진 승
VS 진땅콩 패
폴리포이드</t>
  </si>
  <si>
    <t>수입뿌드 승
VS 토마토 패
라데온</t>
  </si>
  <si>
    <t>황병영 패
VS 조일장 승
라데온</t>
  </si>
  <si>
    <t>지동원 패
VS 김윤환 승
폴스타</t>
  </si>
  <si>
    <t>박준오 패
VS 정윤종 승
메트로폴리스</t>
  </si>
  <si>
    <t>김윤환 패
VS 윤용태 P
메트로폴리스</t>
  </si>
  <si>
    <t>치리 패
VS 뚜비 T
라데온</t>
  </si>
  <si>
    <t>두디 승
VS 오조은 T
폴리포이드</t>
  </si>
  <si>
    <t>박준오 승
VS 구성훈 T
폴스타</t>
  </si>
  <si>
    <t>조일장 승
VS 도재욱 P
폴스타</t>
  </si>
  <si>
    <t>임조이 패
VS 진유성 P
데자뷰</t>
  </si>
  <si>
    <t>치리 패
VS 뚜비 T
데자뷰</t>
  </si>
  <si>
    <t>조일장 승
VS 도재욱 P
녹아웃</t>
  </si>
  <si>
    <t>박준오 승
VS 구성훈 T
메트로폴리스</t>
  </si>
  <si>
    <t>지동원 승
VS 진영화 P
라데온</t>
  </si>
  <si>
    <t>햇살 승
VS 찌킹 Z
라데온</t>
  </si>
  <si>
    <t>황병영 승
VS 김정우 Z
도미네이터</t>
  </si>
  <si>
    <t>모리 승
VS 진유성 P
폴리포이드</t>
  </si>
  <si>
    <t>진땅콩 패
VS 우질 T
폴리포이드</t>
  </si>
  <si>
    <t>막내현진 승
VS 뷰러 Z
라데온</t>
  </si>
  <si>
    <t>주하랑 패
VS 강덕구 T
라데온</t>
  </si>
  <si>
    <t>토마토 승
VS 카히리 Z
라데온</t>
  </si>
  <si>
    <t>김윤환 승
VS 김범수 P
폴리포이드</t>
  </si>
  <si>
    <t>정윤종 패
VS 황병영 승
폴리포이드</t>
  </si>
  <si>
    <t>박준오 패
VS 윤용태 P
리트머스</t>
  </si>
  <si>
    <t>임조이 패
VS 이아깽 T
폴리포이드</t>
  </si>
  <si>
    <t>치리 패
VS 하랑이 P
라데온</t>
  </si>
  <si>
    <t>김윤환 승
VS 임진묵 T
녹아웃</t>
  </si>
  <si>
    <t>두디 패
VS 무찌 T
데자뷰</t>
  </si>
  <si>
    <t>9/5</t>
  </si>
  <si>
    <t>지동원 패
VS 김경모 Z
라데온</t>
  </si>
  <si>
    <t>박준오 승
VS 홍덕 P
메트로폴리스</t>
  </si>
  <si>
    <t>김윤환 패
VS 정민기 T
리트머스</t>
  </si>
  <si>
    <t>정윤종 승
VS 정영재 T
녹아웃</t>
  </si>
  <si>
    <t>조일장 패
VS 장윤철 P
리트머스</t>
  </si>
  <si>
    <t>이경민 패
VS 고석현 Z
메트로폴리스</t>
  </si>
  <si>
    <t>황병영 패
VS 이제동 Z
리트머스</t>
  </si>
  <si>
    <t>치리 패 
VS 링가 T
라데온</t>
  </si>
  <si>
    <t>주하랑 패
VS 최세상 T
데자뷰</t>
  </si>
  <si>
    <t>다예 패
VS 히엉 T
데자뷰</t>
  </si>
  <si>
    <t>모리 승
VS 메옹 T
라데온</t>
  </si>
  <si>
    <t>주하랑 패
VS 최세상 T
폴리포이드</t>
  </si>
  <si>
    <t>임조이 패
VS 히댕 Z
데자뷰</t>
  </si>
  <si>
    <t>막내현진 승
VS 2라니 Z
폴리포이드</t>
  </si>
  <si>
    <t>치리 승
VS 히댕 Z
라데온</t>
  </si>
  <si>
    <t>임조이 승
VS 남수댕 P
라데온</t>
  </si>
  <si>
    <t>임조이 승
VS 김무아 P
데자뷰</t>
  </si>
  <si>
    <t>다예 패
VS 유복실 P
라데온</t>
  </si>
  <si>
    <t>모리 패
VS 김채이 P
라데온</t>
  </si>
  <si>
    <t>주하랑 패
VS 깨림이 T
폴리포이드</t>
  </si>
  <si>
    <t>다예 승
VS 유복실 P
라데온</t>
  </si>
  <si>
    <t>모리 패
VS 뷰러 Z
데자뷰</t>
  </si>
  <si>
    <t>토마토 패
VS 박듀듀 P
라데온</t>
  </si>
  <si>
    <t>막내현진 패
VS 나능토끼 Z
데자뷰</t>
  </si>
  <si>
    <t>두디 승
VS 림예이 Z
폴리포이드</t>
  </si>
  <si>
    <t>토마토 승
VS 박듀듀 P
라데온</t>
  </si>
  <si>
    <t>모리 승
VS 뷰러 Z
폴리포이드</t>
  </si>
  <si>
    <t>햇살 패
VS 최도랑 P
라데온</t>
  </si>
  <si>
    <t>치리 승
VS 백갑숙 P
데자뷰</t>
  </si>
  <si>
    <t>토마토 패
VS 파찌 Z
라데온</t>
  </si>
  <si>
    <t>임조이 승
VS 진유성 P
폴리포이드</t>
  </si>
  <si>
    <t>막내현진 패
VS 예빈 Z
라데온</t>
  </si>
  <si>
    <t>막내현진 패
VS 예빈 Z
폴리포이드</t>
  </si>
  <si>
    <t>치리 승
VS 진유성 P
데자뷰</t>
  </si>
  <si>
    <t>토마토 승
VS 파찌 Z
데자뷰</t>
  </si>
  <si>
    <t>임조이 패
VS 백갑숙 P
데자뷰</t>
  </si>
  <si>
    <t>햇살 패
VS 최도랑 P
폴리포이드</t>
  </si>
  <si>
    <t>두디 승
VS 렘레미 Z
데자뷰</t>
  </si>
  <si>
    <t>치리 승
VS 안부 P
데자뷰</t>
  </si>
  <si>
    <t>임조이 패
VS 김설 Z
폴리포이드</t>
  </si>
  <si>
    <t>햇살 승
VS 렘레미 Z
데자뷰</t>
  </si>
  <si>
    <t>토마토 패
VS 뚜미 T
라데온</t>
  </si>
  <si>
    <t>임조이 승
VS 김설 Z
폴리포이드</t>
  </si>
  <si>
    <t>소주양 승
VS 오하얀 T
데자뷰</t>
  </si>
  <si>
    <t>황병영 패
VS 김성대 Z
도미네이터</t>
  </si>
  <si>
    <t>지동원 패
VS 고석현 Z
도미네이터</t>
  </si>
  <si>
    <t>모리 패
VS 양유정 P
폴리포이드</t>
  </si>
  <si>
    <t>햇살 패
VS 몽순 Z
데자뷰</t>
  </si>
  <si>
    <t>지동원 승
VS 고석현 Z
도미네이터</t>
  </si>
  <si>
    <t>황병영 패
VS 송병구 P
메트로폴리스</t>
  </si>
  <si>
    <t>모리 승
VS 양유정 P
라데온</t>
  </si>
  <si>
    <t>햇살 패
VS 연애인 P
라데온</t>
  </si>
  <si>
    <t>소주양 승
VS 오하얀 T
라데온</t>
  </si>
  <si>
    <t>두디 패
VS 하리 P
데자뷰</t>
  </si>
  <si>
    <t>다예 패
VS 카히리 Z
라데온</t>
  </si>
  <si>
    <t>모리 승
VS 엄보리 P
데자뷰</t>
  </si>
  <si>
    <t>치리 패
VS 비재희 Z
라데온</t>
  </si>
  <si>
    <t>주하랑 패
VS 링고 P
데자뷰</t>
  </si>
  <si>
    <t>치리 패
VS 비재희 Z
데자뷰</t>
  </si>
  <si>
    <t>모리 승
VS 수니양 T
폴리포이드</t>
  </si>
  <si>
    <t>토마토 패
VS 카히리 Z
폴리포이드</t>
  </si>
  <si>
    <t>소주양 승
VS 키링 P
라데온</t>
  </si>
  <si>
    <t>치리 승
VS 진유성 P
폴리포이드</t>
  </si>
  <si>
    <t>모리 승
VS 사사삼 P
폴리포이드</t>
  </si>
  <si>
    <t>주하랑 패
VS 강덕구 T
폴리포이드</t>
  </si>
  <si>
    <t>두디 패
VS 최도랑 P
데자뷰</t>
  </si>
  <si>
    <t>주하랑 패
VS 유이 T
데자뷰</t>
  </si>
  <si>
    <t>토마토 승
VS 파찌 Z
폴리포이드</t>
  </si>
  <si>
    <t>다예 승
VS 파찌 Z
라데온</t>
  </si>
  <si>
    <t>치리 패
VS 내가먼지 T
폴리포이드</t>
  </si>
  <si>
    <t>햇살 승
VS 늑대채린 Z
폴리포이드</t>
  </si>
  <si>
    <t>막내현진 승
VS 또해영 Z
라데온</t>
  </si>
  <si>
    <t>모리 패
VS 양유정 P
라데온</t>
  </si>
  <si>
    <t>두디 승
VS 규리야 T
폴리포이드</t>
  </si>
  <si>
    <t>토마토 승
VS 김뽀뇨 P
데자뷰</t>
  </si>
  <si>
    <t>다예 승
VS 슬돌이 P
데자뷰</t>
  </si>
  <si>
    <t>두디 패
VS 햇살 승
폴리포이드</t>
  </si>
  <si>
    <t>주하랑 승
VS 소주양 패
라데온</t>
  </si>
  <si>
    <t>조일장 패
VS 황병영 승
리트머스</t>
  </si>
  <si>
    <t>막내현진 패
VS 모리 승
폴리포이드</t>
  </si>
  <si>
    <t>정윤종 승
VS 박준오 패
라데온</t>
  </si>
  <si>
    <t>이경민 승
VS 김윤환 패
메트로폴리스</t>
  </si>
  <si>
    <t>치리 패
VS 임조이 승
폴리포이드</t>
  </si>
  <si>
    <t>다예 패
VS 토마토 승
폴리포이드</t>
  </si>
  <si>
    <t>햇살 승
VS 요닝 Z
데자뷰</t>
  </si>
  <si>
    <t>조일장 패
VS 이영호 T
폴리포이드</t>
  </si>
  <si>
    <t>치리 승
VS 하두링 P
폴리포이드</t>
  </si>
  <si>
    <t>토마토 패
VS 나무늘봉순 Z
라데온</t>
  </si>
  <si>
    <t>두디 승
VS 오조은 T
데자뷰</t>
  </si>
  <si>
    <t>막내현진 패
VS 오리꿍 Z
데자뷰</t>
  </si>
  <si>
    <t>막내현진 패
VS 오리꿍 Z
폴리포이드</t>
  </si>
  <si>
    <t>주하랑 패
VS 최세상 T
녹아웃</t>
  </si>
  <si>
    <t>정윤종 승
VS 몽군 T
도미네이터</t>
  </si>
  <si>
    <t>다예 패
VS 히엉 T
리트머스</t>
  </si>
  <si>
    <t>토마토 패
VS 히엉 T
리트머스</t>
  </si>
  <si>
    <t>막내현진 패
VS 메옹 T
리트머스</t>
  </si>
  <si>
    <t>모리 승
VS 예빈 Z
라데온</t>
  </si>
  <si>
    <t>소주양 승
VS 키링 P
폴리포이드</t>
  </si>
  <si>
    <t>치리 승
VS 백갑숙 P
리트머스</t>
  </si>
  <si>
    <t>두디 승
VS 최도랑 P
폴리포이드</t>
  </si>
  <si>
    <t>임조이 패
VS 백갑숙 P
녹아웃</t>
  </si>
  <si>
    <t>소주양 패
VS 임밍지 P
폴리포이드</t>
  </si>
  <si>
    <t>모리 승
VS 예빈 Z
리트머스</t>
  </si>
  <si>
    <t>두디 패
VS 빵리나 P
리트머스</t>
  </si>
  <si>
    <t>토마토 패
VS 소심 T
녹아웃</t>
  </si>
  <si>
    <t>막내현진 패
VS 선정은 T
라데온</t>
  </si>
  <si>
    <t>소주양 승
VS 설둥이 P
폴리포이드</t>
  </si>
  <si>
    <t>햇살 패
VS 공다츠 Z
녹아웃</t>
  </si>
  <si>
    <t>막내현진 패
VS 선정은 T
녹아웃</t>
  </si>
  <si>
    <t>토마토 승
VS 소심 T
라데온</t>
  </si>
  <si>
    <t>두디 패
VS 빵리나 P
녹아웃</t>
  </si>
  <si>
    <t>치리 승
VS 하두링 P
라데온</t>
  </si>
  <si>
    <t>햇살 승
VS 졈니 P
녹아웃</t>
  </si>
  <si>
    <t>토마토 패
VS 나무늘봉순 Z
녹아웃</t>
  </si>
  <si>
    <t>햇살 패
VS 졈니 P
폴리포이드</t>
  </si>
  <si>
    <t>토마토 승
VS 나무늘봉순 Z
라데온</t>
  </si>
  <si>
    <t>다예 패
VS 기나 P
리트머스</t>
  </si>
  <si>
    <t>두디 패
VS 정소이 Z
녹아웃</t>
  </si>
  <si>
    <t>주하랑 승
VS 금선 T
리트머스</t>
  </si>
  <si>
    <t>소주양 패
VS 묘아 P
리트머스</t>
  </si>
  <si>
    <t>두디 승
VS 슬아 Z
녹아웃</t>
  </si>
  <si>
    <t>소주양 패
VS 묘아 P
녹아웃</t>
  </si>
  <si>
    <t>주하랑 승
VS 금선 T
녹아웃</t>
  </si>
  <si>
    <t>햇살 패
VS 정소이 Z
폴리포이드</t>
  </si>
  <si>
    <t>다예 패
VS 기나 P
라데온</t>
  </si>
  <si>
    <t>모리 승
VS 뷰러 Z
리트머스</t>
  </si>
  <si>
    <t>소주양 승
VS 라운 P
폴리포이드</t>
  </si>
  <si>
    <t>다예 패
VS 박듀듀 P
라데온</t>
  </si>
  <si>
    <t>햇살 승
VS 몽순 Z
폴리포이드</t>
  </si>
  <si>
    <t>햇살 패
VS 몽순 Z
라데온</t>
  </si>
  <si>
    <t>다예 패
VS 박듀듀 P
녹아웃</t>
  </si>
  <si>
    <t>소주양 승
VS 라운 P
녹아웃</t>
  </si>
  <si>
    <t>모리 승 
VS 뷰러 Z
리트머스</t>
  </si>
  <si>
    <t>모리 승
VS 뷰러 Z
녹아웃</t>
  </si>
  <si>
    <t>다예 패
VS 기나 P
녹아웃</t>
  </si>
  <si>
    <t>소주양 승
VS 묘아 P
녹아웃</t>
  </si>
  <si>
    <t>모리 승
VS 핑핑 Z
리트머스</t>
  </si>
  <si>
    <t>치리 승
VS 슈슈 Z
폴리포이드</t>
  </si>
  <si>
    <t>두디 패
VS 정소이 Z
리트머스</t>
  </si>
  <si>
    <t>치리 승
VS 슈슈 Z
리트머스</t>
  </si>
  <si>
    <t>소주양 패
VS 묘아 P
폴리포이드</t>
  </si>
  <si>
    <t>모리 승
VS 밍가 P
리트머스</t>
  </si>
  <si>
    <t>소주양 승
VS 주서리 P
폴리포이드</t>
  </si>
  <si>
    <t>토마토 승
VS 나예리 T
녹아웃</t>
  </si>
  <si>
    <t>임조이 승
VS 귀요민정 Z
라데온</t>
  </si>
  <si>
    <t>주하랑 승
VS 꼬니부깅 P
라데온</t>
  </si>
  <si>
    <t>토마토 승
VS 뚜미 T
녹아웃</t>
  </si>
  <si>
    <t>소주양 승
VS 단양 Z
리트머스</t>
  </si>
  <si>
    <t>모리 승
VS 제티 P
리트머스</t>
  </si>
  <si>
    <t>주하랑 패
VS 단양 Z
폴리포이드</t>
  </si>
  <si>
    <t>다예 패
VS 뚜미 T
라데온</t>
  </si>
  <si>
    <t>소주양 패
VS 꼬니부깅 P
녹아웃</t>
  </si>
  <si>
    <t>모리 승
VS 제티 P
녹아웃</t>
  </si>
  <si>
    <t>토마토 패
VS 지두두 T
라데온</t>
  </si>
  <si>
    <t>두디 패
VS 태영 T
녹아웃</t>
    <phoneticPr fontId="1" type="noConversion"/>
  </si>
  <si>
    <t>막내현진 패
VS 효짱 P
리트머스</t>
  </si>
  <si>
    <t>햇살 승
VS 우리밍 T
녹아웃</t>
  </si>
  <si>
    <t>주하랑 승
VS 하랑e P
폴리포이드</t>
  </si>
  <si>
    <t>막내현진 패
VS 효짱 P
라데온</t>
  </si>
  <si>
    <t>두디 패
VS 태영 T
리트머스</t>
  </si>
  <si>
    <t>다예 패
VS 카히리 Z
폴리포이드</t>
  </si>
  <si>
    <t>박준오 승
VS 이영한 Z
리트머스</t>
  </si>
  <si>
    <t>두디 패
VS 하리 P
폴리포이드</t>
  </si>
  <si>
    <t>모리 승
VS 엄보리 P
녹아웃</t>
  </si>
  <si>
    <t>주하랑 패
VS 링고 P
녹아웃</t>
  </si>
  <si>
    <t>치리 승
VS 비재희 Z
리트머스</t>
  </si>
  <si>
    <t>막내현진 패
VS 수니양 T
라데온</t>
  </si>
  <si>
    <t>다예 승
VS 뚜미 T
리트머스</t>
  </si>
  <si>
    <t>모리 패
VS 제티 P
리트머스</t>
  </si>
  <si>
    <t>치리 승
VS 김설 Z
라데온</t>
    <phoneticPr fontId="1" type="noConversion"/>
  </si>
  <si>
    <t xml:space="preserve">소주양 패
VS 꼬니부깅 P
라데온 </t>
  </si>
  <si>
    <t>날짜</t>
    <phoneticPr fontId="1" type="noConversion"/>
  </si>
  <si>
    <t>종목</t>
    <phoneticPr fontId="1" type="noConversion"/>
  </si>
  <si>
    <t>펀딩 총액</t>
    <phoneticPr fontId="1" type="noConversion"/>
  </si>
  <si>
    <t>승리팀 상금</t>
    <phoneticPr fontId="1" type="noConversion"/>
  </si>
  <si>
    <t>2위팀 상금</t>
    <phoneticPr fontId="1" type="noConversion"/>
  </si>
  <si>
    <t>3위팀 상금</t>
    <phoneticPr fontId="1" type="noConversion"/>
  </si>
  <si>
    <t>4위팀 상금</t>
    <phoneticPr fontId="1" type="noConversion"/>
  </si>
  <si>
    <t>5위팀 상금</t>
  </si>
  <si>
    <t>6위팀 상금</t>
  </si>
  <si>
    <t>7위팀 상금</t>
  </si>
  <si>
    <t>8위팀 상금</t>
  </si>
  <si>
    <t>승리팀</t>
    <phoneticPr fontId="1" type="noConversion"/>
  </si>
  <si>
    <t>2위팀</t>
    <phoneticPr fontId="1" type="noConversion"/>
  </si>
  <si>
    <t>3위팀</t>
    <phoneticPr fontId="1" type="noConversion"/>
  </si>
  <si>
    <t>4위팀</t>
    <phoneticPr fontId="1" type="noConversion"/>
  </si>
  <si>
    <t>5위팀</t>
  </si>
  <si>
    <t>6위팀</t>
  </si>
  <si>
    <t>7위팀</t>
  </si>
  <si>
    <t>8위팀</t>
  </si>
  <si>
    <t>카트</t>
    <phoneticPr fontId="1" type="noConversion"/>
  </si>
  <si>
    <t>김윤환 지동원 막내현진 주하랑</t>
  </si>
  <si>
    <t>히엉 박준오 치리 소주양</t>
  </si>
  <si>
    <t>흑운장 두디 임조이 황병영</t>
  </si>
  <si>
    <t>품멜파티</t>
  </si>
  <si>
    <t>황병영 늑대채린 토마토 내가먼지</t>
  </si>
  <si>
    <t>진땅콩 소주양 정민기 두디</t>
    <phoneticPr fontId="1" type="noConversion"/>
  </si>
  <si>
    <t>와이퍼 여우비 황병영</t>
    <phoneticPr fontId="1" type="noConversion"/>
  </si>
  <si>
    <t>쟈닌 토마토 나무늘봉순</t>
    <phoneticPr fontId="1" type="noConversion"/>
  </si>
  <si>
    <t>마이크로웍스</t>
  </si>
  <si>
    <t>모리 주하랑 햇살 두디</t>
  </si>
  <si>
    <t>지동원 토마토 소주양 다예</t>
  </si>
  <si>
    <t>서든</t>
    <phoneticPr fontId="1" type="noConversion"/>
  </si>
  <si>
    <t>진땅콩 박준오 다예 햇살 이경민 조일장 토마토</t>
    <phoneticPr fontId="1" type="noConversion"/>
  </si>
  <si>
    <t>수입뿌드 치리 지동원 모리 임조이 두디 주하랑</t>
    <phoneticPr fontId="1" type="noConversion"/>
  </si>
  <si>
    <t>정윤종 수입뿌드 치리 지동원 이경민 임조이 토마토</t>
    <phoneticPr fontId="1" type="noConversion"/>
  </si>
  <si>
    <t>진땅콩 박준오 다예 주하랑 모리 햇살 두디</t>
    <phoneticPr fontId="1" type="noConversion"/>
  </si>
  <si>
    <t>카트</t>
  </si>
  <si>
    <t>김윤환 영주 링가 모리</t>
  </si>
  <si>
    <t>히엉 토마토 이아꺵 임조이</t>
    <phoneticPr fontId="1" type="noConversion"/>
  </si>
  <si>
    <t>흑운장 란란 두디 막내현진</t>
  </si>
  <si>
    <t>수입뿌드 지동원 메옹 소주양</t>
  </si>
  <si>
    <t>정윤종 수입뿌드 황병영 두디 다예 진땅콩</t>
  </si>
  <si>
    <t>김윤환 박준오 토마토 치리 주하랑 지동원</t>
  </si>
  <si>
    <t>김윤환 이경민 정윤종 깐숙 나옹이빵</t>
    <phoneticPr fontId="1" type="noConversion"/>
  </si>
  <si>
    <t>지동원 클템 박준오 수입뿌드 마우낭</t>
    <phoneticPr fontId="1" type="noConversion"/>
  </si>
  <si>
    <t>서든</t>
  </si>
  <si>
    <t>소주양 김윤환 이경민 모리 두디</t>
  </si>
  <si>
    <t>진땅콩 지동원 주하랑 황병영 임조이</t>
  </si>
  <si>
    <t>지동원 햇살 소주양 황병영 모리</t>
  </si>
  <si>
    <t>김윤환 소주양 이경민 모리 막내현진</t>
  </si>
  <si>
    <t>박준오 수입뿌드 치리 임조이 토마토</t>
  </si>
  <si>
    <t>소주양 정윤종 박준오 지동원 치리 주하랑 막내현진</t>
  </si>
  <si>
    <t>진땅콩 김윤환 수입뿌드 이경민 모리 햇살 토마토</t>
  </si>
  <si>
    <t xml:space="preserve">파도튜브 햇살 주하랑 다예 </t>
    <phoneticPr fontId="1" type="noConversion"/>
  </si>
  <si>
    <t>깐숙 이경민 듀단 다누리 토마토</t>
    <phoneticPr fontId="1" type="noConversion"/>
  </si>
  <si>
    <t>눈길 서건우 임조이 소주양 마우낭</t>
    <phoneticPr fontId="1" type="noConversion"/>
  </si>
  <si>
    <t>강은호 옥맨 나는푸르 이경민 하이요</t>
    <phoneticPr fontId="1" type="noConversion"/>
  </si>
  <si>
    <t>클템 정윤종 듀단 이상호 토마토</t>
    <phoneticPr fontId="1" type="noConversion"/>
  </si>
  <si>
    <t>배그</t>
    <phoneticPr fontId="1" type="noConversion"/>
  </si>
  <si>
    <t>김윤환 주하랑 햇살 파도튜브</t>
    <phoneticPr fontId="1" type="noConversion"/>
  </si>
  <si>
    <t>대회 전적</t>
    <phoneticPr fontId="1" type="noConversion"/>
  </si>
  <si>
    <t>대학대전 전적</t>
    <phoneticPr fontId="1" type="noConversion"/>
  </si>
  <si>
    <t>미니대전 전적</t>
    <phoneticPr fontId="1" type="noConversion"/>
  </si>
  <si>
    <t>CK 전적</t>
    <phoneticPr fontId="1" type="noConversion"/>
  </si>
  <si>
    <t>테란전 전적</t>
    <phoneticPr fontId="1" type="noConversion"/>
  </si>
  <si>
    <t>프로토스전 전적</t>
    <phoneticPr fontId="1" type="noConversion"/>
  </si>
  <si>
    <t>저그전 전적</t>
    <phoneticPr fontId="1" type="noConversion"/>
  </si>
  <si>
    <t>상대전적</t>
    <phoneticPr fontId="1" type="noConversion"/>
  </si>
  <si>
    <t>맵 전적</t>
    <phoneticPr fontId="1" type="noConversion"/>
  </si>
  <si>
    <t>상대</t>
    <phoneticPr fontId="1" type="noConversion"/>
  </si>
  <si>
    <t>상금 / 펀딩</t>
    <phoneticPr fontId="1" type="noConversion"/>
  </si>
  <si>
    <t>상금 / 지원금</t>
    <phoneticPr fontId="1" type="noConversion"/>
  </si>
  <si>
    <t>사비</t>
    <phoneticPr fontId="1" type="noConversion"/>
  </si>
  <si>
    <t>멤버</t>
  </si>
  <si>
    <t>참여</t>
  </si>
  <si>
    <t>승리</t>
  </si>
  <si>
    <t>승률</t>
  </si>
  <si>
    <t>상금</t>
  </si>
  <si>
    <t>펀딩</t>
  </si>
  <si>
    <t>회수율</t>
  </si>
  <si>
    <t>지원금</t>
  </si>
  <si>
    <t>리나메3</t>
    <phoneticPr fontId="1" type="noConversion"/>
  </si>
  <si>
    <t>김윤환 이경민 박준오 황병영 햇살 진땅콩 조일장 치리</t>
    <phoneticPr fontId="1" type="noConversion"/>
  </si>
  <si>
    <t>정윤종 토마토 주하랑 파도튜브 수입뿌드 지동원</t>
    <phoneticPr fontId="1" type="noConversion"/>
  </si>
  <si>
    <t>스타 마피아</t>
    <phoneticPr fontId="1" type="noConversion"/>
  </si>
  <si>
    <t>이경민 파도튜브 황병영 김윤환 지동원 수입뿌드</t>
    <phoneticPr fontId="1" type="noConversion"/>
  </si>
  <si>
    <t>신상문 조일장</t>
    <phoneticPr fontId="1" type="noConversion"/>
  </si>
  <si>
    <t>킹지</t>
  </si>
  <si>
    <t>거성대</t>
    <phoneticPr fontId="1" type="noConversion"/>
  </si>
  <si>
    <t>김윤환 정윤종 한둬얼 김레인 이지상</t>
    <phoneticPr fontId="1" type="noConversion"/>
  </si>
  <si>
    <t>오리3 김봉준 이경민 임아니 하이요</t>
    <phoneticPr fontId="1" type="noConversion"/>
  </si>
  <si>
    <t>박쭈이</t>
    <phoneticPr fontId="1" type="noConversion"/>
  </si>
  <si>
    <t>연또</t>
    <phoneticPr fontId="1" type="noConversion"/>
  </si>
  <si>
    <t>정유랭</t>
    <phoneticPr fontId="1" type="noConversion"/>
  </si>
  <si>
    <t>NSU, 흑카데미, 수술대</t>
  </si>
  <si>
    <t>MSG, 석사관, 보신대, 패션스타, YB, 와플대, ASG, JSA</t>
  </si>
  <si>
    <t>CP, 거성대, 케이대, 와플대</t>
  </si>
  <si>
    <t>학버드, 철와대, DP, 케이대</t>
  </si>
  <si>
    <t>우끼끼즈, 엠비대</t>
  </si>
  <si>
    <t>케이대, 중만대, 씨나인</t>
  </si>
  <si>
    <t>캄성여대, 씨나인</t>
  </si>
  <si>
    <t>NSU, 흑카데미</t>
  </si>
  <si>
    <t>캄성여대, 케이대</t>
  </si>
  <si>
    <t>점문예대, 염석대, 철기중대, 철와대, 츠나대, JSA, 보신대, 중만대, 보신대, 케이대</t>
  </si>
  <si>
    <t>캄성여대, 씨나인, 케이대</t>
  </si>
  <si>
    <t>철기중대, JSA, 염석대, 아마대, 보신대, 할없녀, 장독대, 뉴캣슬</t>
  </si>
  <si>
    <t>학버드, 바스포드, DP, YB, 케이대</t>
  </si>
  <si>
    <t>우끼끼즈, 야인스대, 보신대, 중만대, 정선대, 늪지대, JSA</t>
  </si>
  <si>
    <t>바스포드, 석사관, 보신대, 거성대, 케이대</t>
  </si>
  <si>
    <t>점문대, 바스포드, 무친대, 염석대, JSA, YB</t>
  </si>
  <si>
    <t>보신대, 중만대, YB</t>
  </si>
  <si>
    <t>우끼끼즈, YB</t>
  </si>
  <si>
    <t>MSG, NASA, 보신대, 소림사, 정선대, 장독대, 뉴캣슬</t>
  </si>
  <si>
    <t>보신대, NASA, 정선대, 중만대, 보신대, 씨나인, 수술대</t>
  </si>
  <si>
    <t>아마대, 늪지대, 케이대</t>
  </si>
  <si>
    <t>JSA, YB, 씨나인</t>
  </si>
  <si>
    <t>JSA, 중만대, 보신대, 정선대, 수술대</t>
  </si>
  <si>
    <t>보신대, 패션스타, JSA, 수술대</t>
  </si>
  <si>
    <t>우끼끼즈, JSA, YB</t>
  </si>
  <si>
    <t>늪지대, 장독대, 뉴캣슬</t>
  </si>
  <si>
    <t>늪지대, 케이대</t>
  </si>
  <si>
    <t>할없녀, 씨나인</t>
  </si>
  <si>
    <t>소림사, 장독대, 뉴캣슬</t>
  </si>
  <si>
    <t>섭이대, 늪지대, 엠비대</t>
  </si>
  <si>
    <t>케이대, 복덕방, 장독대, 뉴캣슬</t>
  </si>
  <si>
    <t>정선대, 장독대, 뉴캣슬</t>
  </si>
  <si>
    <t>YB, 엠비대, YB</t>
  </si>
  <si>
    <t>장독대, 거성대, 흑카데미</t>
  </si>
  <si>
    <t>늪지대, 수술대</t>
  </si>
  <si>
    <t>중만대, 보신대, JSA</t>
  </si>
  <si>
    <t>거성대, 와플대</t>
  </si>
  <si>
    <t>씨나인, 수술대</t>
  </si>
  <si>
    <t>거성대</t>
  </si>
  <si>
    <t>티어</t>
    <phoneticPr fontId="1" type="noConversion"/>
  </si>
  <si>
    <t>gks2wl</t>
    <phoneticPr fontId="1" type="noConversion"/>
  </si>
  <si>
    <t>렘레미</t>
    <phoneticPr fontId="1" type="noConversion"/>
  </si>
  <si>
    <t>jieun3297</t>
    <phoneticPr fontId="1" type="noConversion"/>
  </si>
  <si>
    <t>이루리</t>
    <phoneticPr fontId="1" type="noConversion"/>
  </si>
  <si>
    <t>하리보나</t>
    <phoneticPr fontId="1" type="noConversion"/>
  </si>
  <si>
    <t>클템</t>
    <phoneticPr fontId="1" type="noConversion"/>
  </si>
  <si>
    <t>freshtomato</t>
    <phoneticPr fontId="1" type="noConversion"/>
  </si>
  <si>
    <t>sdkels</t>
    <phoneticPr fontId="1" type="noConversion"/>
  </si>
  <si>
    <t>qpqpro</t>
    <phoneticPr fontId="1" type="noConversion"/>
  </si>
  <si>
    <t>by0529</t>
    <phoneticPr fontId="1" type="noConversion"/>
  </si>
  <si>
    <t>서윤</t>
    <phoneticPr fontId="1" type="noConversion"/>
  </si>
  <si>
    <t>러아</t>
    <phoneticPr fontId="1" type="noConversion"/>
  </si>
  <si>
    <t>thelddl</t>
    <phoneticPr fontId="1" type="noConversion"/>
  </si>
  <si>
    <t>단잉</t>
    <phoneticPr fontId="1" type="noConversion"/>
  </si>
  <si>
    <t>지두두</t>
    <phoneticPr fontId="1" type="noConversion"/>
  </si>
  <si>
    <t>박듀듀</t>
    <phoneticPr fontId="1" type="noConversion"/>
  </si>
  <si>
    <t>엔돌핀</t>
    <phoneticPr fontId="1" type="noConversion"/>
  </si>
  <si>
    <t>yochba0402</t>
    <phoneticPr fontId="1" type="noConversion"/>
  </si>
  <si>
    <t>박하악</t>
    <phoneticPr fontId="1" type="noConversion"/>
  </si>
  <si>
    <t>슬돌이</t>
    <phoneticPr fontId="1" type="noConversion"/>
  </si>
  <si>
    <t>설둥이</t>
    <phoneticPr fontId="1" type="noConversion"/>
  </si>
  <si>
    <t>fpahsdltu1</t>
    <phoneticPr fontId="1" type="noConversion"/>
  </si>
  <si>
    <t>미니언</t>
    <phoneticPr fontId="1" type="noConversion"/>
  </si>
  <si>
    <t>suji84</t>
    <phoneticPr fontId="1" type="noConversion"/>
  </si>
  <si>
    <t>찌킹</t>
    <phoneticPr fontId="1" type="noConversion"/>
  </si>
  <si>
    <t>soju2022</t>
    <phoneticPr fontId="1" type="noConversion"/>
  </si>
  <si>
    <t>moguleave</t>
    <phoneticPr fontId="1" type="noConversion"/>
  </si>
  <si>
    <t>db001202</t>
    <phoneticPr fontId="1" type="noConversion"/>
  </si>
  <si>
    <t>내가먼지</t>
    <phoneticPr fontId="1" type="noConversion"/>
  </si>
  <si>
    <t>비타밍</t>
    <phoneticPr fontId="1" type="noConversion"/>
  </si>
  <si>
    <t>먼진</t>
    <phoneticPr fontId="1" type="noConversion"/>
  </si>
  <si>
    <t>2meonjin</t>
    <phoneticPr fontId="1" type="noConversion"/>
  </si>
  <si>
    <t>dlaguswl501</t>
    <phoneticPr fontId="1" type="noConversion"/>
  </si>
  <si>
    <t>zzonii</t>
    <phoneticPr fontId="1" type="noConversion"/>
  </si>
  <si>
    <t>queen030</t>
    <phoneticPr fontId="1" type="noConversion"/>
  </si>
  <si>
    <t>wlswn6565</t>
    <phoneticPr fontId="1" type="noConversion"/>
  </si>
  <si>
    <t>kcomfort4200</t>
    <phoneticPr fontId="1" type="noConversion"/>
  </si>
  <si>
    <t>diniowo</t>
    <phoneticPr fontId="1" type="noConversion"/>
  </si>
  <si>
    <t>아리송이</t>
    <phoneticPr fontId="1" type="noConversion"/>
  </si>
  <si>
    <t>방태수</t>
    <phoneticPr fontId="1" type="noConversion"/>
  </si>
  <si>
    <t>박성진</t>
    <phoneticPr fontId="1" type="noConversion"/>
  </si>
  <si>
    <t>배성흠</t>
    <phoneticPr fontId="1" type="noConversion"/>
  </si>
  <si>
    <t>goodzerg</t>
    <phoneticPr fontId="1" type="noConversion"/>
  </si>
  <si>
    <t>전상욱</t>
    <phoneticPr fontId="1" type="noConversion"/>
  </si>
  <si>
    <t>박수범</t>
    <phoneticPr fontId="1" type="noConversion"/>
  </si>
  <si>
    <t>jihoon002</t>
    <phoneticPr fontId="1" type="noConversion"/>
  </si>
  <si>
    <t>이재호</t>
    <phoneticPr fontId="1" type="noConversion"/>
  </si>
  <si>
    <t>사테</t>
    <phoneticPr fontId="1" type="noConversion"/>
  </si>
  <si>
    <t>정중만</t>
    <phoneticPr fontId="1" type="noConversion"/>
  </si>
  <si>
    <t>신상문</t>
    <phoneticPr fontId="1" type="noConversion"/>
  </si>
  <si>
    <t>김민철</t>
    <phoneticPr fontId="1" type="noConversion"/>
  </si>
  <si>
    <t>김윤중</t>
    <phoneticPr fontId="1" type="noConversion"/>
  </si>
  <si>
    <t>변현제</t>
    <phoneticPr fontId="1" type="noConversion"/>
  </si>
  <si>
    <t>어윤수</t>
    <phoneticPr fontId="1" type="noConversion"/>
  </si>
  <si>
    <t>권혁진</t>
    <phoneticPr fontId="1" type="noConversion"/>
  </si>
  <si>
    <t>hby0724</t>
    <phoneticPr fontId="1" type="noConversion"/>
  </si>
  <si>
    <t>kthrs9207</t>
    <phoneticPr fontId="1" type="noConversion"/>
  </si>
  <si>
    <t>rondobba</t>
    <phoneticPr fontId="1" type="noConversion"/>
  </si>
  <si>
    <t>rudals5467</t>
    <phoneticPr fontId="1" type="noConversion"/>
  </si>
  <si>
    <t>byhero</t>
    <phoneticPr fontId="1" type="noConversion"/>
  </si>
  <si>
    <t>h78ert</t>
    <phoneticPr fontId="1" type="noConversion"/>
  </si>
  <si>
    <t>ioioiobb</t>
    <phoneticPr fontId="1" type="noConversion"/>
  </si>
  <si>
    <t>라히</t>
    <phoneticPr fontId="1" type="noConversion"/>
  </si>
  <si>
    <t>cksgmldbs</t>
    <phoneticPr fontId="1" type="noConversion"/>
  </si>
  <si>
    <t>fidfidfid</t>
    <phoneticPr fontId="1" type="noConversion"/>
  </si>
  <si>
    <t>kjy3443</t>
    <phoneticPr fontId="1" type="noConversion"/>
  </si>
  <si>
    <t>plenilune83</t>
    <phoneticPr fontId="1" type="noConversion"/>
  </si>
  <si>
    <t>남덕선</t>
    <phoneticPr fontId="1" type="noConversion"/>
  </si>
  <si>
    <t>thetis</t>
    <phoneticPr fontId="1" type="noConversion"/>
  </si>
  <si>
    <t>만다</t>
    <phoneticPr fontId="1" type="noConversion"/>
  </si>
  <si>
    <t>연혁</t>
    <phoneticPr fontId="1" type="noConversion"/>
  </si>
  <si>
    <t>CP</t>
    <phoneticPr fontId="1" type="noConversion"/>
  </si>
  <si>
    <t>엠비대</t>
    <phoneticPr fontId="1" type="noConversion"/>
  </si>
  <si>
    <t>주하랑 다예</t>
    <phoneticPr fontId="1" type="noConversion"/>
  </si>
  <si>
    <t>토마토 진땅콩</t>
    <phoneticPr fontId="1" type="noConversion"/>
  </si>
  <si>
    <t>퍼펙트파트너</t>
    <phoneticPr fontId="1" type="noConversion"/>
  </si>
  <si>
    <t>흑카데미</t>
    <phoneticPr fontId="1" type="noConversion"/>
  </si>
  <si>
    <t>뉴캣슬</t>
    <phoneticPr fontId="1" type="noConversion"/>
  </si>
  <si>
    <t>수술대</t>
    <phoneticPr fontId="1" type="noConversion"/>
  </si>
  <si>
    <t>무친대, 라이트클럽, 츠캄몬스타즈, 씨나인</t>
  </si>
  <si>
    <t>석사관, 늪지대, 석사관, 야인스대, DP, 우끼끼즈, 묵섭대, 섭이대, 이노대, JSA</t>
  </si>
  <si>
    <t>철기중대</t>
    <phoneticPr fontId="1" type="noConversion"/>
  </si>
  <si>
    <t>철와대</t>
    <phoneticPr fontId="1" type="noConversion"/>
  </si>
  <si>
    <t>보신대</t>
    <phoneticPr fontId="1" type="noConversion"/>
  </si>
  <si>
    <t>중만대</t>
    <phoneticPr fontId="1" type="noConversion"/>
  </si>
  <si>
    <t>NASA</t>
    <phoneticPr fontId="1" type="noConversion"/>
  </si>
  <si>
    <t>DNA</t>
    <phoneticPr fontId="1" type="noConversion"/>
  </si>
  <si>
    <t>미다스공대, JSA, 라저대, 정선대, 우끼끼즈, 씨나인</t>
  </si>
  <si>
    <t>GOU</t>
    <phoneticPr fontId="1" type="noConversion"/>
  </si>
  <si>
    <t>학버드, 마종대, 파이스트, 아마대, GOU, NASA, DP, 케이대, 늪지대</t>
  </si>
  <si>
    <t>바스포드, 철기구치소, 캄성여대, 복덕방, 장독대, YB, JSA</t>
  </si>
  <si>
    <t>마종대, 무친대, JSA, DP, DNA, 씨나인, JSA, 엠비대</t>
  </si>
  <si>
    <t>연합팀</t>
  </si>
  <si>
    <t>내전</t>
  </si>
  <si>
    <t>섭이대</t>
  </si>
  <si>
    <t>늪지대</t>
    <phoneticPr fontId="1" type="noConversion"/>
  </si>
  <si>
    <t>와플대</t>
    <phoneticPr fontId="1" type="noConversion"/>
  </si>
  <si>
    <t>두림하이</t>
    <phoneticPr fontId="1" type="noConversion"/>
  </si>
  <si>
    <t>두폴조합</t>
    <phoneticPr fontId="1" type="noConversion"/>
  </si>
  <si>
    <t>BGM</t>
  </si>
  <si>
    <t>BGM</t>
    <phoneticPr fontId="1" type="noConversion"/>
  </si>
  <si>
    <t>뽀현욱</t>
    <phoneticPr fontId="1" type="noConversion"/>
  </si>
  <si>
    <t>jhw1729</t>
  </si>
  <si>
    <t>mkyung0331</t>
  </si>
  <si>
    <t>김윤환 박준오 클템 하블리 정다닝</t>
    <phoneticPr fontId="1" type="noConversion"/>
  </si>
  <si>
    <t>지동원 흑운장 면추가 히엉 햇살</t>
    <phoneticPr fontId="1" type="noConversion"/>
  </si>
  <si>
    <t>철기중대</t>
  </si>
  <si>
    <t>MSG</t>
  </si>
  <si>
    <t>CP</t>
  </si>
  <si>
    <t>학버드</t>
  </si>
  <si>
    <t>점문대, 파이스트, 철와대, 정선대</t>
  </si>
  <si>
    <t>바스포드, 염석대, 츠나대, 장독대</t>
  </si>
  <si>
    <t>CP, 무친대, 츠나대, JSA, 늪지대, 소림사</t>
  </si>
  <si>
    <t>철기중대, 무친대, 아마대, MSG, NASA, 보신대, 늪지대, 와플대, ASG</t>
  </si>
  <si>
    <t>학버드, 철기중대, 철와대, 철기구치소, 철기대, 이노대</t>
  </si>
  <si>
    <t>미다스공대, 무친대, 케이대, 우끼끼즈</t>
  </si>
  <si>
    <t>보신대, 패션스타, 와플대</t>
  </si>
  <si>
    <t>철기중대, 아마대, JSA, 묵섭대, 보신대, 중만대, 이노대</t>
  </si>
  <si>
    <t>CP, NSU, 흑카데미</t>
  </si>
  <si>
    <t>MSG, GOU</t>
  </si>
  <si>
    <t>우끼끼즈, NSU, DP</t>
  </si>
  <si>
    <t>점문대, 염석대, 바스포드, 무친대, JSA, 아마대, 철거반, 수술대</t>
  </si>
  <si>
    <t>학버드, NSU, 츠나대</t>
  </si>
  <si>
    <t>무친대, JSA, 우끼끼즈, 석사관, 이노대, 늪지대</t>
  </si>
  <si>
    <t>NSU, 츠나대, 장독대, 우끼끼즈</t>
  </si>
  <si>
    <t>염석대, 파이스트, 아마대</t>
  </si>
  <si>
    <t>CP, JSA, 보신대, 씨나인, 복덕방, 츠캄몬스타즈</t>
  </si>
  <si>
    <t>우끼끼즈, 학버드, 무친대</t>
  </si>
  <si>
    <t>JSA, 라저대</t>
  </si>
  <si>
    <t>JSA, 우끼끼즈, 거성대, 케이대, 소림사, 늪지대</t>
  </si>
  <si>
    <t>염석대, 바스포드, 케이대</t>
  </si>
  <si>
    <t>염석대, 무친대, 늪지대, 정선대</t>
  </si>
  <si>
    <t>우끼끼즈, 철와대</t>
  </si>
  <si>
    <t>CP, 염석대, NSU, YB, 늪지대, 정선대, JSA</t>
  </si>
  <si>
    <t>보신대, 거성대, ASG</t>
  </si>
  <si>
    <t>파이스트, 츠나대</t>
  </si>
  <si>
    <t>NSU, 우끼끼즈</t>
  </si>
  <si>
    <t>점문대, 파이스트</t>
  </si>
  <si>
    <t>CP, 라저대, NASA, 케이대, 씨나인, 노가다대</t>
  </si>
  <si>
    <t>철기중대, 파이스트</t>
  </si>
  <si>
    <t>마종대, 바스포드, 철기구치소, 철기대, 방치클럽, YB</t>
  </si>
  <si>
    <t>배병대, 마종대, NSU, 우끼끼즈, NASA</t>
  </si>
  <si>
    <t>점문대, 파이스트, JSA</t>
  </si>
  <si>
    <t>학버드, NSU</t>
  </si>
  <si>
    <t>염석대, 파이스트, 소림사, 와플대</t>
  </si>
  <si>
    <t>학버드, 염석대, 라저대, JSA, 철기구치소</t>
  </si>
  <si>
    <t>미다스공대, 무친대, YB, 씨나인, 케이대</t>
  </si>
  <si>
    <t>미다스공대, 츠나대</t>
  </si>
  <si>
    <t>철기중대, 우끼끼즈, 늪지대, 거성대</t>
  </si>
  <si>
    <t>범진대, 마종대, JSA</t>
  </si>
  <si>
    <t>CP, 철와대, DP, DNA, 수술대</t>
  </si>
  <si>
    <t>학버드, 철와대, YB, 씨나인, JSA</t>
  </si>
  <si>
    <t>MSG, GOU, JSA, 정선대, 수술대</t>
  </si>
  <si>
    <t>배병대, 염석대</t>
  </si>
  <si>
    <t>염석대, JSA, NSU, YB, 방치클럽</t>
  </si>
  <si>
    <t>마종대, 철기중대, 우끼끼즈</t>
  </si>
  <si>
    <t>마종대, 파이스트</t>
  </si>
  <si>
    <t>CP, GOU</t>
  </si>
  <si>
    <t>염석대, 파이스트</t>
  </si>
  <si>
    <t>파이스트, CP</t>
  </si>
  <si>
    <t>우끼끼즈, 철기중대, 철와대, 라이트클럽</t>
  </si>
  <si>
    <t>파이스트, 와플대</t>
  </si>
  <si>
    <t>보신대, 늪지대, 묵섭대, 패션스타, 거성대</t>
  </si>
  <si>
    <t>마종대, CP</t>
  </si>
  <si>
    <t>철기중대, 우끼끼즈, JSA, YB, JSA, 씨나인</t>
  </si>
  <si>
    <t>소림사, 거성대</t>
  </si>
  <si>
    <t>파이스트, 바스포드, 보신대, YB</t>
  </si>
  <si>
    <t>철기중대, CP, 철기구치소, 철기대, 이노대, 중만대</t>
  </si>
  <si>
    <t>염석대, 아마대</t>
  </si>
  <si>
    <t>염석대, 츠나대, 케이대</t>
  </si>
  <si>
    <t>무친대, JSA, GOU, 거성대, 철기대, 정선대</t>
  </si>
  <si>
    <t>JSA, 아마대, 늪지대, 석사관, 야인스대, 소림사, 거성대, 와플대</t>
  </si>
  <si>
    <t>NASA, 와플대</t>
  </si>
  <si>
    <t>JSA, 우끼끼즈, 두림하이</t>
  </si>
  <si>
    <t>바스포드, 케이대</t>
  </si>
  <si>
    <t>우끼끼즈, 염석대, CP, 보신대</t>
  </si>
  <si>
    <t>학버드, 미다스</t>
  </si>
  <si>
    <t>염석대, 츠나대, YB, 씨나인</t>
  </si>
  <si>
    <t>학버드, NSU, 철기대</t>
  </si>
  <si>
    <t>미다스공대, 학버드, 우끼끼즈, 늪지대, 정선대</t>
  </si>
  <si>
    <t>미다스공대, 파이스트, NSU</t>
  </si>
  <si>
    <t>NSU, JSA</t>
  </si>
  <si>
    <t>야인스대, MSU</t>
  </si>
  <si>
    <t>파이스트, 아마대</t>
  </si>
  <si>
    <t>JSA, NASA, 늪지대</t>
  </si>
  <si>
    <t>JSA, MSG, 캄성여대, 씨나인, 이노대</t>
  </si>
  <si>
    <t>우끼끼즈, 보신대, 할없녀, 이노대, 늪지대</t>
  </si>
  <si>
    <t>보신대, 거성대, 뽀인구단</t>
  </si>
  <si>
    <t>우끼끼즈, DNA</t>
  </si>
  <si>
    <t>무친대, JSA, NASA, 야인스대</t>
  </si>
  <si>
    <t>우끼끼즈, 거성대, 케이대, 패션스타, 거성대</t>
  </si>
  <si>
    <t>바스포드, 거성대, 케이대, 케이대, 늪지대</t>
  </si>
  <si>
    <t>NSU, DP, JSA, 장독대</t>
  </si>
  <si>
    <t>바스포드, 석사관, 철기대</t>
  </si>
  <si>
    <t>거성대, 늪지대</t>
  </si>
  <si>
    <t>철기구치소, JSA, YB</t>
  </si>
  <si>
    <t>NASA, 묵섭대, 이노대, 소림사</t>
  </si>
  <si>
    <t>YB, 철기대</t>
  </si>
  <si>
    <t>NASA, 할없녀, 소림사, 거성대, ASG</t>
  </si>
  <si>
    <t>케이대, 늪지대, 거성대, 와플대, ASG</t>
  </si>
  <si>
    <t>보신대, 방치클럽</t>
  </si>
  <si>
    <t>JSA, 묵섭대, 섭이대, 장독대</t>
  </si>
  <si>
    <t>YB, 이노대</t>
  </si>
  <si>
    <t>YB, 케이대</t>
  </si>
  <si>
    <t>묵섭대, 이노대</t>
  </si>
  <si>
    <t>묵섭대, 패션스타</t>
  </si>
  <si>
    <t>보신대, 소림사</t>
  </si>
  <si>
    <t>보신대, 중만대, 씨나인</t>
  </si>
  <si>
    <t>우끼끼즈, 이노대</t>
  </si>
  <si>
    <t>소림사, 정선대</t>
  </si>
  <si>
    <t>정선대, 와플대</t>
  </si>
  <si>
    <t>츠캄몬스타즈, 뉴캣슬</t>
  </si>
  <si>
    <t>광수대, 정선대</t>
  </si>
  <si>
    <t>이노대, 정선대</t>
  </si>
  <si>
    <t>JSA, YB</t>
  </si>
  <si>
    <t>이노대, BGM</t>
  </si>
  <si>
    <t>CP, 묵섭대, 츠캄몬스타즈</t>
  </si>
  <si>
    <t>염석대, 캄성여대, 케이대</t>
  </si>
  <si>
    <t>파이스트, 두림하이, 뽀인구단</t>
  </si>
  <si>
    <t>박수범, 진영화</t>
  </si>
  <si>
    <t>김윤환, 김성대</t>
  </si>
  <si>
    <t>철구, 기뉴다</t>
  </si>
  <si>
    <t>짭호, 난수</t>
  </si>
  <si>
    <t>박재혁, 도재욱</t>
  </si>
  <si>
    <t>강덕구, 아라미</t>
  </si>
  <si>
    <t>김윤환, 이경민</t>
  </si>
  <si>
    <t>마예준, 병하</t>
  </si>
  <si>
    <t>도전미션</t>
  </si>
  <si>
    <t>스타 종합</t>
    <phoneticPr fontId="1" type="noConversion"/>
  </si>
  <si>
    <t>서현</t>
  </si>
  <si>
    <t>프로토스</t>
  </si>
  <si>
    <t>테란</t>
  </si>
  <si>
    <t>arr0530</t>
  </si>
  <si>
    <t>0티어 승급일</t>
    <phoneticPr fontId="1" type="noConversion"/>
  </si>
  <si>
    <t>ELO 등록일</t>
    <phoneticPr fontId="1" type="noConversion"/>
  </si>
  <si>
    <t>김봉준</t>
    <phoneticPr fontId="1" type="noConversion"/>
  </si>
  <si>
    <t>khm11903</t>
  </si>
  <si>
    <t>rrvv17</t>
  </si>
  <si>
    <t>wnnw</t>
  </si>
  <si>
    <t>lshooooo</t>
  </si>
  <si>
    <t>스페이드</t>
  </si>
  <si>
    <t>devil0108</t>
  </si>
  <si>
    <t>dlghfjs</t>
  </si>
  <si>
    <t>rkdakstlr911</t>
  </si>
  <si>
    <t>8티어 승급일</t>
    <phoneticPr fontId="1" type="noConversion"/>
  </si>
  <si>
    <t>7티어 승급일</t>
    <phoneticPr fontId="1" type="noConversion"/>
  </si>
  <si>
    <t>6티어 승급일</t>
    <phoneticPr fontId="1" type="noConversion"/>
  </si>
  <si>
    <t>5티어 승급일</t>
    <phoneticPr fontId="1" type="noConversion"/>
  </si>
  <si>
    <t>4티어 승급일</t>
    <phoneticPr fontId="1" type="noConversion"/>
  </si>
  <si>
    <t>3티어 승급일</t>
    <phoneticPr fontId="1" type="noConversion"/>
  </si>
  <si>
    <t>2티어 승급일</t>
    <phoneticPr fontId="1" type="noConversion"/>
  </si>
  <si>
    <t>1티어 승급일</t>
    <phoneticPr fontId="1" type="noConversion"/>
  </si>
  <si>
    <t>bombbi</t>
  </si>
  <si>
    <t>조커</t>
  </si>
  <si>
    <t>잭</t>
  </si>
  <si>
    <t>cst29261</t>
  </si>
  <si>
    <t>킹</t>
  </si>
  <si>
    <t>스타 미니</t>
    <phoneticPr fontId="1" type="noConversion"/>
  </si>
  <si>
    <t>파도튜브 주하랑 진땅콩</t>
    <phoneticPr fontId="1" type="noConversion"/>
  </si>
  <si>
    <t>박준오 치리 임조이</t>
    <phoneticPr fontId="1" type="noConversion"/>
  </si>
  <si>
    <t>오늘</t>
    <phoneticPr fontId="1" type="noConversion"/>
  </si>
  <si>
    <t>졈니 패
VS 태영 T
라데온</t>
    <phoneticPr fontId="1" type="noConversion"/>
  </si>
  <si>
    <t>이경민 승
VS 지동원 T
라데온</t>
    <phoneticPr fontId="1" type="noConversion"/>
  </si>
  <si>
    <t>김윤환 패
VS 유승곤 T
라데온</t>
    <phoneticPr fontId="1" type="noConversion"/>
  </si>
  <si>
    <t>졈니 패
VS 태영 T
폴리포이드</t>
    <phoneticPr fontId="1" type="noConversion"/>
  </si>
  <si>
    <t>졈니 승
VS 태영 T
라데온</t>
    <phoneticPr fontId="1" type="noConversion"/>
  </si>
  <si>
    <t>진땅콩 박준오 임조이 지동원 치리</t>
    <phoneticPr fontId="1" type="noConversion"/>
  </si>
  <si>
    <t>소주양 김윤환 황병영 다예 주하랑</t>
    <phoneticPr fontId="1" type="noConversion"/>
  </si>
  <si>
    <t>measin</t>
  </si>
  <si>
    <t>갓</t>
  </si>
  <si>
    <t>소주양 토마토 진땅콩 임조이</t>
    <phoneticPr fontId="1" type="noConversion"/>
  </si>
  <si>
    <t>2021 스케스 대학대전</t>
    <phoneticPr fontId="1" type="noConversion"/>
  </si>
  <si>
    <t>2022 시조새배 좋소파리그</t>
    <phoneticPr fontId="1" type="noConversion"/>
  </si>
  <si>
    <t>2022 떡참배 대학대전</t>
    <phoneticPr fontId="1" type="noConversion"/>
  </si>
  <si>
    <t>2022 조용히사라배 대학대전 시즌1, 2022 철감봉남배 대학대전</t>
    <phoneticPr fontId="1" type="noConversion"/>
  </si>
  <si>
    <t>2022 조용히사라배 대학대전 시즌2</t>
    <phoneticPr fontId="1" type="noConversion"/>
  </si>
  <si>
    <t>2023 핫식스배 스타멸망전 동아리 대전</t>
    <phoneticPr fontId="1" type="noConversion"/>
  </si>
  <si>
    <t>2023 풀발373배 스타대전, 2023 핫식스배 스타멸망전</t>
    <phoneticPr fontId="1" type="noConversion"/>
  </si>
  <si>
    <t>2024 큐센배 JPL 시즌1</t>
    <phoneticPr fontId="1" type="noConversion"/>
  </si>
  <si>
    <t>2025 시조새배 JPL 시즌2, 2025 족인호배 SOOP 스타대학리그</t>
    <phoneticPr fontId="1" type="noConversion"/>
  </si>
  <si>
    <t>2024 씨나인배 대학리그</t>
    <phoneticPr fontId="1" type="noConversion"/>
  </si>
  <si>
    <t>2024 라네트배 대학리그</t>
    <phoneticPr fontId="1" type="noConversion"/>
  </si>
  <si>
    <t>비고</t>
    <phoneticPr fontId="1" type="noConversion"/>
  </si>
  <si>
    <t>캄성여대 합병</t>
    <phoneticPr fontId="1" type="noConversion"/>
  </si>
  <si>
    <t>총장영입 실패</t>
    <phoneticPr fontId="1" type="noConversion"/>
  </si>
  <si>
    <t>무친대 합병</t>
    <phoneticPr fontId="1" type="noConversion"/>
  </si>
  <si>
    <t>리재호종합대학</t>
    <phoneticPr fontId="1" type="noConversion"/>
  </si>
  <si>
    <t>창립 실패</t>
    <phoneticPr fontId="1" type="noConversion"/>
  </si>
  <si>
    <t>친박연대</t>
    <phoneticPr fontId="1" type="noConversion"/>
  </si>
  <si>
    <t>갈배, 김해피</t>
    <phoneticPr fontId="1" type="noConversion"/>
  </si>
  <si>
    <t>빵통대</t>
    <phoneticPr fontId="1" type="noConversion"/>
  </si>
  <si>
    <t>철기빵, 철기대</t>
    <phoneticPr fontId="1" type="noConversion"/>
  </si>
  <si>
    <t>삼대장</t>
    <phoneticPr fontId="1" type="noConversion"/>
  </si>
  <si>
    <t>점문예대</t>
    <phoneticPr fontId="1" type="noConversion"/>
  </si>
  <si>
    <t>철구, 기뉴다, 김윤중</t>
    <phoneticPr fontId="1" type="noConversion"/>
  </si>
  <si>
    <t>변현제, 이영웅, 손찬웅</t>
    <phoneticPr fontId="1" type="noConversion"/>
  </si>
  <si>
    <t>염병철</t>
    <phoneticPr fontId="1" type="noConversion"/>
  </si>
  <si>
    <t>YBC</t>
    <phoneticPr fontId="1" type="noConversion"/>
  </si>
  <si>
    <t>고대</t>
    <phoneticPr fontId="1" type="noConversion"/>
  </si>
  <si>
    <t>염보성, 정윤종</t>
    <phoneticPr fontId="1" type="noConversion"/>
  </si>
  <si>
    <t>겁쟁이들의쉼터</t>
    <phoneticPr fontId="1" type="noConversion"/>
  </si>
  <si>
    <t>변단기</t>
    <phoneticPr fontId="1" type="noConversion"/>
  </si>
  <si>
    <t>에이전트학</t>
    <phoneticPr fontId="1" type="noConversion"/>
  </si>
  <si>
    <t>염지고</t>
    <phoneticPr fontId="1" type="noConversion"/>
  </si>
  <si>
    <t>콩익대</t>
    <phoneticPr fontId="1" type="noConversion"/>
  </si>
  <si>
    <t>나예리, 꼬니부깅, 소심</t>
    <phoneticPr fontId="1" type="noConversion"/>
  </si>
  <si>
    <t>거사대</t>
    <phoneticPr fontId="1" type="noConversion"/>
  </si>
  <si>
    <t>MZN</t>
    <phoneticPr fontId="1" type="noConversion"/>
  </si>
  <si>
    <t>서기수, 김성제</t>
    <phoneticPr fontId="1" type="noConversion"/>
  </si>
  <si>
    <t>MZ녀석들</t>
    <phoneticPr fontId="1" type="noConversion"/>
  </si>
  <si>
    <t>묵섭대, 섭섭대</t>
    <phoneticPr fontId="1" type="noConversion"/>
  </si>
  <si>
    <t>길냥즈</t>
    <phoneticPr fontId="1" type="noConversion"/>
  </si>
  <si>
    <t>미다스아카데미</t>
    <phoneticPr fontId="1" type="noConversion"/>
  </si>
  <si>
    <t>주니대</t>
    <phoneticPr fontId="1" type="noConversion"/>
  </si>
  <si>
    <t>신사관학교</t>
    <phoneticPr fontId="1" type="noConversion"/>
  </si>
  <si>
    <t>크루</t>
    <phoneticPr fontId="1" type="noConversion"/>
  </si>
  <si>
    <t>크루 목록</t>
    <phoneticPr fontId="1" type="noConversion"/>
  </si>
  <si>
    <t>입단일</t>
    <phoneticPr fontId="1" type="noConversion"/>
  </si>
  <si>
    <t>퇴단일</t>
    <phoneticPr fontId="1" type="noConversion"/>
  </si>
  <si>
    <t>입단 티어</t>
    <phoneticPr fontId="1" type="noConversion"/>
  </si>
  <si>
    <t>학수고대</t>
    <phoneticPr fontId="1" type="noConversion"/>
  </si>
  <si>
    <t>거성대 2기</t>
    <phoneticPr fontId="1" type="noConversion"/>
  </si>
  <si>
    <t>저라뎃, 이재호, 원선재</t>
    <phoneticPr fontId="1" type="noConversion"/>
  </si>
  <si>
    <t>박재혁, 서윤</t>
    <phoneticPr fontId="1" type="noConversion"/>
  </si>
  <si>
    <t>미다스공대 2기</t>
    <phoneticPr fontId="1" type="noConversion"/>
  </si>
  <si>
    <t>이노레이블 스타부</t>
    <phoneticPr fontId="1" type="noConversion"/>
  </si>
  <si>
    <t>정선컴퍼니 스타부</t>
    <phoneticPr fontId="1" type="noConversion"/>
  </si>
  <si>
    <t>김성대, 앵지</t>
    <phoneticPr fontId="1" type="noConversion"/>
  </si>
  <si>
    <t>설립자</t>
    <phoneticPr fontId="1" type="noConversion"/>
  </si>
  <si>
    <t>NASA 2기</t>
    <phoneticPr fontId="1" type="noConversion"/>
  </si>
  <si>
    <t>JSA 2기, 3기</t>
    <phoneticPr fontId="1" type="noConversion"/>
  </si>
  <si>
    <t>미다스공대 1기</t>
    <phoneticPr fontId="1" type="noConversion"/>
  </si>
  <si>
    <t>와플릭스 스타부</t>
    <phoneticPr fontId="1" type="noConversion"/>
  </si>
  <si>
    <t>거성대 1기</t>
    <phoneticPr fontId="1" type="noConversion"/>
  </si>
  <si>
    <t>NASA 1기</t>
    <phoneticPr fontId="1" type="noConversion"/>
  </si>
  <si>
    <t>라클리</t>
    <phoneticPr fontId="1" type="noConversion"/>
  </si>
  <si>
    <t>해체일 불분명</t>
    <phoneticPr fontId="1" type="noConversion"/>
  </si>
  <si>
    <t>괴인협회</t>
    <phoneticPr fontId="1" type="noConversion"/>
  </si>
  <si>
    <t>보카데미</t>
    <phoneticPr fontId="1" type="noConversion"/>
  </si>
  <si>
    <t>잉치원</t>
    <phoneticPr fontId="1" type="noConversion"/>
  </si>
  <si>
    <t>러앙유치원</t>
    <phoneticPr fontId="1" type="noConversion"/>
  </si>
  <si>
    <t>앙치원</t>
    <phoneticPr fontId="1" type="noConversion"/>
  </si>
  <si>
    <t>덕잎유치원</t>
    <phoneticPr fontId="1" type="noConversion"/>
  </si>
  <si>
    <t>덕치원</t>
    <phoneticPr fontId="1" type="noConversion"/>
  </si>
  <si>
    <t>방구석유치원</t>
    <phoneticPr fontId="1" type="noConversion"/>
  </si>
  <si>
    <t>방치원</t>
    <phoneticPr fontId="1" type="noConversion"/>
  </si>
  <si>
    <t>프치원</t>
    <phoneticPr fontId="1" type="noConversion"/>
  </si>
  <si>
    <t>두린이집</t>
    <phoneticPr fontId="1" type="noConversion"/>
  </si>
  <si>
    <t>좋은유치원</t>
    <phoneticPr fontId="1" type="noConversion"/>
  </si>
  <si>
    <t>좋치원</t>
    <phoneticPr fontId="1" type="noConversion"/>
  </si>
  <si>
    <t>만스터치유치원</t>
    <phoneticPr fontId="1" type="noConversion"/>
  </si>
  <si>
    <t>미치원</t>
    <phoneticPr fontId="1" type="noConversion"/>
  </si>
  <si>
    <t>엔치원</t>
    <phoneticPr fontId="1" type="noConversion"/>
  </si>
  <si>
    <t>토즈란</t>
    <phoneticPr fontId="1" type="noConversion"/>
  </si>
  <si>
    <t>벅치원</t>
    <phoneticPr fontId="1" type="noConversion"/>
  </si>
  <si>
    <t>무통클리닉</t>
    <phoneticPr fontId="1" type="noConversion"/>
  </si>
  <si>
    <t>햇치원</t>
    <phoneticPr fontId="1" type="noConversion"/>
  </si>
  <si>
    <t>징치원</t>
    <phoneticPr fontId="1" type="noConversion"/>
  </si>
  <si>
    <t>듀치원</t>
    <phoneticPr fontId="1" type="noConversion"/>
  </si>
  <si>
    <t>뉴델리</t>
    <phoneticPr fontId="1" type="noConversion"/>
  </si>
  <si>
    <t>NPC</t>
    <phoneticPr fontId="1" type="noConversion"/>
  </si>
  <si>
    <t>티어표 등록일</t>
    <phoneticPr fontId="1" type="noConversion"/>
  </si>
  <si>
    <t>코치</t>
    <phoneticPr fontId="1" type="noConversion"/>
  </si>
  <si>
    <t>감독</t>
    <phoneticPr fontId="1" type="noConversion"/>
  </si>
  <si>
    <t>선수</t>
  </si>
  <si>
    <t>선수</t>
    <phoneticPr fontId="1" type="noConversion"/>
  </si>
  <si>
    <t>유스, 선수</t>
    <phoneticPr fontId="1" type="noConversion"/>
  </si>
  <si>
    <t>직책</t>
    <phoneticPr fontId="1" type="noConversion"/>
  </si>
  <si>
    <t>소속</t>
    <phoneticPr fontId="1" type="noConversion"/>
  </si>
  <si>
    <t>인턴</t>
    <phoneticPr fontId="1" type="noConversion"/>
  </si>
  <si>
    <t>인턴, 유스</t>
    <phoneticPr fontId="1" type="noConversion"/>
  </si>
  <si>
    <t>클템 몽군 소주양 김레인 주하랑</t>
    <phoneticPr fontId="1" type="noConversion"/>
  </si>
  <si>
    <t>수입뿌드 김윤중 구라미스 조일장 미쓰리</t>
    <phoneticPr fontId="1" type="noConversion"/>
  </si>
  <si>
    <t xml:space="preserve">   </t>
    <phoneticPr fontId="1" type="noConversion"/>
  </si>
  <si>
    <t>수입뿌드 정윤종 다예 클템</t>
    <phoneticPr fontId="1" type="noConversion"/>
  </si>
  <si>
    <t>nylove276</t>
  </si>
  <si>
    <t/>
  </si>
  <si>
    <t>NASA, 패션스타, 늪지대, 거사대, 두림하이, BGM</t>
  </si>
  <si>
    <t>MSG, 츠나대</t>
  </si>
  <si>
    <t>JSA, 철와대, YB, 케이대</t>
  </si>
  <si>
    <t>캄성여대, 씨나인, 이노대, 이노대</t>
  </si>
  <si>
    <t>노가다대, 정선대, 중만대, 엠비대, 와플대</t>
  </si>
  <si>
    <t>흑카데미, 묵섭대, 흑카데미, 엠비대</t>
  </si>
  <si>
    <t>GOU, 늪지대, 두림하이</t>
  </si>
  <si>
    <t>파이스트, CP, NSU, 우끼끼즈, 늪지대, 두림하이, ASG, BGM</t>
  </si>
  <si>
    <t>와플대, 거사대, 두림하이, BGM</t>
  </si>
  <si>
    <t>HM</t>
  </si>
  <si>
    <t>HM</t>
    <phoneticPr fontId="1" type="noConversion"/>
  </si>
  <si>
    <t>혁민</t>
    <phoneticPr fontId="1" type="noConversion"/>
  </si>
  <si>
    <t>suhi370erw</t>
  </si>
  <si>
    <t>점문대</t>
    <phoneticPr fontId="1" type="noConversion"/>
  </si>
  <si>
    <t>용스</t>
    <phoneticPr fontId="1" type="noConversion"/>
  </si>
  <si>
    <t>jun10280</t>
  </si>
  <si>
    <t>서든 폴가이즈</t>
    <phoneticPr fontId="1" type="noConversion"/>
  </si>
  <si>
    <t>김윤환 진땅콩 박준오 주하랑 조일장 임조이</t>
    <phoneticPr fontId="1" type="noConversion"/>
  </si>
  <si>
    <t>수입뿌드 소주양 지동원 치리 황병영 파도튜브</t>
    <phoneticPr fontId="1" type="noConversion"/>
  </si>
  <si>
    <t>JSA 1기</t>
    <phoneticPr fontId="1" type="noConversion"/>
  </si>
  <si>
    <t>전력분석관</t>
    <phoneticPr fontId="1" type="noConversion"/>
  </si>
  <si>
    <t>kuyol</t>
  </si>
  <si>
    <t>라이어게임</t>
    <phoneticPr fontId="1" type="noConversion"/>
  </si>
  <si>
    <t>40, 30, 20, 10</t>
    <phoneticPr fontId="1" type="noConversion"/>
  </si>
  <si>
    <t>파티애니멀즈</t>
    <phoneticPr fontId="1" type="noConversion"/>
  </si>
  <si>
    <t>주하랑 소주양 햇살 파도튜브</t>
    <phoneticPr fontId="1" type="noConversion"/>
  </si>
  <si>
    <t>박준오 치리 진땅콩 다예</t>
    <phoneticPr fontId="1" type="noConversion"/>
  </si>
  <si>
    <t>롤 랜드</t>
    <phoneticPr fontId="1" type="noConversion"/>
  </si>
  <si>
    <t>롤 CK</t>
    <phoneticPr fontId="1" type="noConversion"/>
  </si>
  <si>
    <t>롤 자랭</t>
    <phoneticPr fontId="1" type="noConversion"/>
  </si>
  <si>
    <t>수입뿌드 김윤환 박준오 엊우진 구루미</t>
    <phoneticPr fontId="1" type="noConversion"/>
  </si>
  <si>
    <t>하얀눈길 김성대 이경민 뀨삐 슬돌이</t>
    <phoneticPr fontId="1" type="noConversion"/>
  </si>
  <si>
    <t>롤 칼바람</t>
    <phoneticPr fontId="1" type="noConversion"/>
  </si>
  <si>
    <t>dustntn53</t>
  </si>
  <si>
    <t>덕몽어스</t>
    <phoneticPr fontId="1" type="noConversion"/>
  </si>
  <si>
    <t>김윤환 파도튜브 이경민 토마토 주하랑</t>
    <phoneticPr fontId="1" type="noConversion"/>
  </si>
  <si>
    <t>수입뿌드 박쭈이 햇살 소주양 진땅콩</t>
    <phoneticPr fontId="1" type="noConversion"/>
  </si>
  <si>
    <t>스타 팀플</t>
    <phoneticPr fontId="1" type="noConversion"/>
  </si>
  <si>
    <t>토마토 진땅콩 박준오 황병영</t>
    <phoneticPr fontId="1" type="noConversion"/>
  </si>
  <si>
    <t>조일장 파도튜브 다예 임조이</t>
    <phoneticPr fontId="1" type="noConversion"/>
  </si>
  <si>
    <t>김윤환 이경민 주하랑 소주양</t>
    <phoneticPr fontId="1" type="noConversion"/>
  </si>
  <si>
    <t>정윤종 지동원 햇살 치리</t>
    <phoneticPr fontId="1" type="noConversion"/>
  </si>
  <si>
    <t>iamaiql</t>
  </si>
  <si>
    <t>정윤종 이경민 주하랑</t>
    <phoneticPr fontId="1" type="noConversion"/>
  </si>
  <si>
    <t>황병영 지동원 소주양</t>
    <phoneticPr fontId="1" type="noConversion"/>
  </si>
  <si>
    <t>조일장 김윤환 치리</t>
    <phoneticPr fontId="1" type="noConversion"/>
  </si>
  <si>
    <t>스타 종최</t>
    <phoneticPr fontId="1" type="noConversion"/>
  </si>
  <si>
    <t>x1aohongmao</t>
  </si>
  <si>
    <t>a4s5kzg7wmk</t>
  </si>
  <si>
    <t>조일장 박준오 토마토 엄보리</t>
    <phoneticPr fontId="1" type="noConversion"/>
  </si>
  <si>
    <t>임진묵 흑운장 박듀듀 임조이</t>
    <phoneticPr fontId="1" type="noConversion"/>
  </si>
  <si>
    <t>종겜</t>
    <phoneticPr fontId="1" type="noConversion"/>
  </si>
  <si>
    <t>토마토 치리 지동원 파도튜브 다예</t>
    <phoneticPr fontId="1" type="noConversion"/>
  </si>
  <si>
    <t>임조이 햇살 황병영 박준오 진땅콩</t>
    <phoneticPr fontId="1" type="noConversion"/>
  </si>
  <si>
    <t>clubsexybj</t>
  </si>
  <si>
    <t>나는눈꽃 수입뿌드 이경민 소주양 헤니</t>
    <phoneticPr fontId="1" type="noConversion"/>
  </si>
  <si>
    <t>존스미스 깐숙 다누리 엊우진 이유란</t>
    <phoneticPr fontId="1" type="noConversion"/>
  </si>
  <si>
    <t>이경민 박쭈이 치리 주하랑</t>
    <phoneticPr fontId="1" type="noConversion"/>
  </si>
  <si>
    <t>치리 진땅콩 박쭈이 임조이</t>
    <phoneticPr fontId="1" type="noConversion"/>
  </si>
  <si>
    <t>토마토 이경민 정소윤 늑대채린</t>
    <phoneticPr fontId="1" type="noConversion"/>
  </si>
  <si>
    <t>배병우 클템 서지수 햇살</t>
    <phoneticPr fontId="1" type="noConversion"/>
  </si>
  <si>
    <t>트라인4</t>
    <phoneticPr fontId="1" type="noConversion"/>
  </si>
  <si>
    <t>토마토 치리 파도튜브</t>
    <phoneticPr fontId="1" type="noConversion"/>
  </si>
  <si>
    <t>진땅콩 이경민 치리 햇살</t>
    <phoneticPr fontId="1" type="noConversion"/>
  </si>
  <si>
    <t>토마토 수입뿌드 임조이 주하랑</t>
    <phoneticPr fontId="1" type="noConversion"/>
  </si>
  <si>
    <t>스타 유즈맵</t>
    <phoneticPr fontId="1" type="noConversion"/>
  </si>
  <si>
    <t>김학수 고석현 슬돌이 김뽀뇨 규리야 늑대채린 내가먼지</t>
    <phoneticPr fontId="1" type="noConversion"/>
  </si>
  <si>
    <t>햇살 이경민 지동원 토마토 다예 주하랑 임조이</t>
    <phoneticPr fontId="1" type="noConversion"/>
  </si>
  <si>
    <t>임조이 박쭈이 진땅콩 파도튜브</t>
    <phoneticPr fontId="1" type="noConversion"/>
  </si>
  <si>
    <t>토마토 이경민 클템 지동원</t>
    <phoneticPr fontId="1" type="noConversion"/>
  </si>
  <si>
    <t>qwer1317</t>
  </si>
  <si>
    <t>kjhanna824</t>
  </si>
  <si>
    <t>haeun5513</t>
  </si>
  <si>
    <t>onzzang</t>
  </si>
  <si>
    <t>yuzzzz</t>
  </si>
  <si>
    <t>메운디</t>
    <phoneticPr fontId="1" type="noConversion"/>
  </si>
  <si>
    <t>지동원 토마토 소주양 배성흠 황병영 먼진</t>
    <phoneticPr fontId="1" type="noConversion"/>
  </si>
  <si>
    <t>치리 김윤환 임조이 이경민 주하랑 박쭈이</t>
    <phoneticPr fontId="1" type="noConversion"/>
  </si>
  <si>
    <t>chuwari13</t>
  </si>
  <si>
    <t>hamhee</t>
  </si>
  <si>
    <t>1004yomi</t>
  </si>
  <si>
    <t>quaestor1</t>
  </si>
  <si>
    <t>yuna1024</t>
  </si>
  <si>
    <t>시즌4</t>
  </si>
  <si>
    <t>임조이 승
VS 연블비 Z
실피드</t>
    <phoneticPr fontId="1" type="noConversion"/>
  </si>
  <si>
    <t>소주양 승
VS 슈슈 Z
폴리포이드</t>
    <phoneticPr fontId="1" type="noConversion"/>
  </si>
  <si>
    <t>치리 승
VS 예실 P
라데온</t>
    <phoneticPr fontId="1" type="noConversion"/>
  </si>
  <si>
    <t>진땅콩 승
VS 다라츄 P
라데온</t>
    <phoneticPr fontId="1" type="noConversion"/>
  </si>
  <si>
    <t>먼진 승
VS 흑설 P
실피드</t>
    <phoneticPr fontId="1" type="noConversion"/>
  </si>
  <si>
    <t>CK</t>
  </si>
  <si>
    <t>김윤환 패
VS 구라미스 P
도미네이터</t>
    <phoneticPr fontId="1" type="noConversion"/>
  </si>
  <si>
    <t>임조이 패
VS 진유성 P
녹아웃</t>
    <phoneticPr fontId="1" type="noConversion"/>
  </si>
  <si>
    <t>조일장 패
VS  도재욱 p
라데온</t>
    <phoneticPr fontId="1" type="noConversion"/>
  </si>
  <si>
    <t>김윤환 승
VS 구라미스 P
리트머스</t>
    <phoneticPr fontId="1" type="noConversion"/>
  </si>
  <si>
    <t>임조이 승
VS 진유성 P
폴리포이드</t>
    <phoneticPr fontId="1" type="noConversion"/>
  </si>
  <si>
    <t>조일장 승
VS  도재욱 p
리트머스</t>
    <phoneticPr fontId="1" type="noConversion"/>
  </si>
  <si>
    <t>김윤환 승
VS 구라미스 P
폴스타</t>
    <phoneticPr fontId="1" type="noConversion"/>
  </si>
  <si>
    <t>임조이 패
VS 진유성 P
라데온</t>
    <phoneticPr fontId="1" type="noConversion"/>
  </si>
  <si>
    <t>조일장 패
VS  도재욱 p
폴스타</t>
    <phoneticPr fontId="1" type="noConversion"/>
  </si>
  <si>
    <t>내전</t>
    <phoneticPr fontId="1" type="noConversion"/>
  </si>
  <si>
    <t>11/6</t>
  </si>
  <si>
    <t>소주양 승
VS 주하랑 패
폴리포이드</t>
    <phoneticPr fontId="1" type="noConversion"/>
  </si>
  <si>
    <t>박쭈이 패
VS 진땅콩 승
폴리포이드</t>
    <phoneticPr fontId="1" type="noConversion"/>
  </si>
  <si>
    <t>파도튜브 승
VS 수입뿌드 패
폴리포이드</t>
    <phoneticPr fontId="1" type="noConversion"/>
  </si>
  <si>
    <t>먼진 승
VS 임조이 패
녹아웃</t>
    <phoneticPr fontId="1" type="noConversion"/>
  </si>
  <si>
    <t>햇살 패
VS 토마토 승
라데온</t>
    <phoneticPr fontId="1" type="noConversion"/>
  </si>
  <si>
    <t>박준오 승
VS 박수범 패
도미네이터</t>
    <phoneticPr fontId="1" type="noConversion"/>
  </si>
  <si>
    <t>배성흠 승
VS 이경민 패
라데온</t>
    <phoneticPr fontId="1" type="noConversion"/>
  </si>
  <si>
    <t>김윤환 패
VS 지동원 승
리트머스</t>
    <phoneticPr fontId="1" type="noConversion"/>
  </si>
  <si>
    <t>조일장 패
VS 황병영 승
폴스타</t>
    <phoneticPr fontId="1" type="noConversion"/>
  </si>
  <si>
    <t>조일장 패
VS 황병영 승
도미네이터</t>
    <phoneticPr fontId="1" type="noConversion"/>
  </si>
  <si>
    <t>햇살 패
VS 토마토 승
폴리포이드</t>
    <phoneticPr fontId="1" type="noConversion"/>
  </si>
  <si>
    <t>수입뿌드 김윤환 이경민 치리 주하랑 임조이 박준오 배성흠 박수범</t>
    <phoneticPr fontId="1" type="noConversion"/>
  </si>
  <si>
    <t>먼진 소주양 토마토 진땅콩 박쭈이 조일장 지동원 파도튜브 황병영</t>
    <phoneticPr fontId="1" type="noConversion"/>
  </si>
  <si>
    <t>연합팀</t>
    <phoneticPr fontId="1" type="noConversion"/>
  </si>
  <si>
    <t>먼진 패
VS 제티 P
녹아웃</t>
    <phoneticPr fontId="1" type="noConversion"/>
  </si>
  <si>
    <t>이경민 승
VS 배병우 Z
실피드</t>
    <phoneticPr fontId="1" type="noConversion"/>
  </si>
  <si>
    <t>김윤환 승
VS 지동원 T
도미네이터</t>
    <phoneticPr fontId="1" type="noConversion"/>
  </si>
  <si>
    <t>박수범 패
VS 박성균 T
녹아웃</t>
    <phoneticPr fontId="1" type="noConversion"/>
  </si>
  <si>
    <t>배성흠 승
VS 김범수 P
녹아웃</t>
    <phoneticPr fontId="1" type="noConversion"/>
  </si>
  <si>
    <t>배성흠 패
VS 김범수 P
라데온</t>
    <phoneticPr fontId="1" type="noConversion"/>
  </si>
  <si>
    <t>박수범 패
VS 박성균 T
도미네이터</t>
    <phoneticPr fontId="1" type="noConversion"/>
  </si>
  <si>
    <t>김윤환 패
VS 지동원 T
메트로폴리스</t>
    <phoneticPr fontId="1" type="noConversion"/>
  </si>
  <si>
    <t>김윤환 먼진 배성흠 파도튜브</t>
    <phoneticPr fontId="1" type="noConversion"/>
  </si>
  <si>
    <t>임조이 토마토 이경민 지동원</t>
    <phoneticPr fontId="1" type="noConversion"/>
  </si>
  <si>
    <t>먼진 토마토 김윤환 이경민 임조이</t>
    <phoneticPr fontId="1" type="noConversion"/>
  </si>
  <si>
    <t>김학수 고석현 김뽀뇨 내가먼지 정서린</t>
    <phoneticPr fontId="1" type="noConversion"/>
  </si>
  <si>
    <t>7/4 9/5 슈에</t>
  </si>
  <si>
    <t>16R</t>
    <phoneticPr fontId="1" type="noConversion"/>
  </si>
  <si>
    <t>15R</t>
    <phoneticPr fontId="1" type="noConversion"/>
  </si>
  <si>
    <t>14R</t>
    <phoneticPr fontId="1" type="noConversion"/>
  </si>
  <si>
    <t>지동원 승
VS 장민철 P
폴리포이드</t>
    <phoneticPr fontId="1" type="noConversion"/>
  </si>
  <si>
    <t>김윤환 승
VS 박재혁 Z
녹아웃</t>
    <phoneticPr fontId="1" type="noConversion"/>
  </si>
  <si>
    <t>박준오 승
VS 윤용태 P
녹아웃</t>
    <phoneticPr fontId="1" type="noConversion"/>
  </si>
  <si>
    <t>박수범 승
VS 김윤중 P
라데온</t>
    <phoneticPr fontId="1" type="noConversion"/>
  </si>
  <si>
    <t>김윤환 패
VS 김윤중 P
녹아웃</t>
    <phoneticPr fontId="1" type="noConversion"/>
  </si>
  <si>
    <t>이경민 패
VS 김윤중 P
폴스타</t>
    <phoneticPr fontId="1" type="noConversion"/>
  </si>
  <si>
    <t>김윤환 승
VS 장민철 P
녹아웃</t>
    <phoneticPr fontId="1" type="noConversion"/>
  </si>
  <si>
    <t>지동원 승
VS 김윤중 P
라데온</t>
    <phoneticPr fontId="1" type="noConversion"/>
  </si>
  <si>
    <t>지동원 승
VS 윤진규 Z
실피드</t>
    <phoneticPr fontId="1" type="noConversion"/>
  </si>
  <si>
    <t>지동원 승
VS 박재혁 Z
라데온</t>
    <phoneticPr fontId="1" type="noConversion"/>
  </si>
  <si>
    <t>지동원 승
VS 윤용태 P
실피드</t>
    <phoneticPr fontId="1" type="noConversion"/>
  </si>
  <si>
    <t>김윤환 이경민 토마토 임조이 먼진</t>
    <phoneticPr fontId="1" type="noConversion"/>
  </si>
  <si>
    <t>이유란 비타밍 수니양 김성대 구성훈</t>
    <phoneticPr fontId="1" type="noConversion"/>
  </si>
  <si>
    <t>동의게임</t>
    <phoneticPr fontId="1" type="noConversion"/>
  </si>
  <si>
    <t>50, 30, 20</t>
    <phoneticPr fontId="1" type="noConversion"/>
  </si>
  <si>
    <t>지동원 김윤환 배성흠 황병영</t>
    <phoneticPr fontId="1" type="noConversion"/>
  </si>
  <si>
    <t>수입뿌드 토마토 임조이 주하랑</t>
    <phoneticPr fontId="1" type="noConversion"/>
  </si>
  <si>
    <t>2026--02-04</t>
    <phoneticPr fontId="1" type="noConversion"/>
  </si>
  <si>
    <t>미니</t>
  </si>
  <si>
    <t>토마토 승
VS 상어녀 Z
실피드</t>
    <phoneticPr fontId="1" type="noConversion"/>
  </si>
  <si>
    <t>햇살 패
VS 쥬나 Z
라데온</t>
    <phoneticPr fontId="1" type="noConversion"/>
  </si>
  <si>
    <t>치리 승
VS 유이 T
폴리포이드</t>
    <phoneticPr fontId="1" type="noConversion"/>
  </si>
  <si>
    <t>주하랑 승
VS 강덕구 T
녹아웃</t>
    <phoneticPr fontId="1" type="noConversion"/>
  </si>
  <si>
    <t>주하랑 승
VS 강덕구 T
폴리포이드</t>
    <phoneticPr fontId="1" type="noConversion"/>
  </si>
  <si>
    <t>치리 승
VS 유이 T
녹아웃</t>
    <phoneticPr fontId="1" type="noConversion"/>
  </si>
  <si>
    <t>햇살 패
VS 쥬나 Z
실피드</t>
    <phoneticPr fontId="1" type="noConversion"/>
  </si>
  <si>
    <t>토마토 승
VS 상어녀 Z
라데온</t>
    <phoneticPr fontId="1" type="noConversion"/>
  </si>
  <si>
    <t>스타 스폰</t>
    <phoneticPr fontId="1" type="noConversion"/>
  </si>
  <si>
    <t>토마토 승
VS 소심 T
녹아웃</t>
    <phoneticPr fontId="1" type="noConversion"/>
  </si>
  <si>
    <t>햇살 승
VS 빵리나 P
라데온</t>
    <phoneticPr fontId="1" type="noConversion"/>
  </si>
  <si>
    <t>임조이 패
VS 선정은 T
폴리포이드</t>
    <phoneticPr fontId="1" type="noConversion"/>
  </si>
  <si>
    <t>치리 패
VS 오하얀 T
라데온</t>
    <phoneticPr fontId="1" type="noConversion"/>
  </si>
  <si>
    <t>소주양 승
VS 설둥이 P
폴리포이드</t>
    <phoneticPr fontId="1" type="noConversion"/>
  </si>
  <si>
    <t>먼진 패
VS 은서 P
실피드</t>
    <phoneticPr fontId="1" type="noConversion"/>
  </si>
  <si>
    <t>햇살 패
VS 빵리나 P
라데온</t>
    <phoneticPr fontId="1" type="noConversion"/>
  </si>
  <si>
    <t>스타</t>
    <phoneticPr fontId="1" type="noConversion"/>
  </si>
  <si>
    <t>주하랑 박수범 토마토 수입뿌드 임조이 진땅콩 황병영 지동원 이경민</t>
    <phoneticPr fontId="1" type="noConversion"/>
  </si>
  <si>
    <t>소주양 박준오 햇살 파도튜브 먼진 박쭈이 조일장 김윤환 배성흠</t>
    <phoneticPr fontId="1" type="noConversion"/>
  </si>
  <si>
    <t>소주양 승
VS 슈슈 Z
녹아웃</t>
    <phoneticPr fontId="1" type="noConversion"/>
  </si>
  <si>
    <t>치리 승
VS 라운 P
폴리포이드</t>
    <phoneticPr fontId="1" type="noConversion"/>
  </si>
  <si>
    <t>주하랑 승
VS 깨림이 T
폴리포이드</t>
    <phoneticPr fontId="1" type="noConversion"/>
  </si>
  <si>
    <t>주하랑 패
VS 슈슈 Z
폴리포이드</t>
    <phoneticPr fontId="1" type="noConversion"/>
  </si>
  <si>
    <t>소주양 패
VS 슈슈 Z
폴리포이드</t>
    <phoneticPr fontId="1" type="noConversion"/>
  </si>
  <si>
    <t>치리 승
VS 슈슈 Z
라데온</t>
    <phoneticPr fontId="1" type="noConversion"/>
  </si>
  <si>
    <t>치리 승
VS 깨림이 T
녹아웃</t>
    <phoneticPr fontId="1" type="noConversion"/>
  </si>
  <si>
    <t>치리 승
VS 라운 P
녹아웃</t>
    <phoneticPr fontId="1" type="noConversion"/>
  </si>
  <si>
    <t>먼진 패
VS 정다닝 T
실피드</t>
    <phoneticPr fontId="1" type="noConversion"/>
  </si>
  <si>
    <t>치리 승
VS 최세상 T
녹아웃</t>
    <phoneticPr fontId="1" type="noConversion"/>
  </si>
  <si>
    <t>임조이 승
VS 엄보리 P
녹아웃</t>
    <phoneticPr fontId="1" type="noConversion"/>
  </si>
  <si>
    <t>먼진 패
VS 정다닝 T
폴리포이드</t>
    <phoneticPr fontId="1" type="noConversion"/>
  </si>
  <si>
    <t>치리 패
VS 최세상 T
실피드</t>
    <phoneticPr fontId="1" type="noConversion"/>
  </si>
  <si>
    <t>임조이 패
VS 엄보리 P
라데온</t>
    <phoneticPr fontId="1" type="noConversion"/>
  </si>
  <si>
    <t>임조이 승
VS 비타밍 T
실피드</t>
    <phoneticPr fontId="1" type="noConversion"/>
  </si>
  <si>
    <t>먼진 패
VS 수니양 T
라데온</t>
    <phoneticPr fontId="1" type="noConversion"/>
  </si>
  <si>
    <t>치리 승
VS 라운P
라데온</t>
    <phoneticPr fontId="1" type="noConversion"/>
  </si>
  <si>
    <t>임조이 승
VS 비타밍 T
폴리포이드</t>
    <phoneticPr fontId="1" type="noConversion"/>
  </si>
  <si>
    <t>주하랑 승
VS 란란Z
라데온</t>
    <phoneticPr fontId="1" type="noConversion"/>
  </si>
  <si>
    <t>이경민 승
VS 박재혁 Z
실피드</t>
    <phoneticPr fontId="1" type="noConversion"/>
  </si>
  <si>
    <t>주하랑 패
VS 란란Z
녹아웃</t>
    <phoneticPr fontId="1" type="noConversion"/>
  </si>
  <si>
    <t>이경민 패
VS 박재혁 Z
라데온</t>
    <phoneticPr fontId="1" type="noConversion"/>
  </si>
  <si>
    <t>주하랑 승
VS 란란Z
실피드</t>
    <phoneticPr fontId="1" type="noConversion"/>
  </si>
  <si>
    <t>이경민 승
VS 박재혁 Z
녹아웃</t>
    <phoneticPr fontId="1" type="noConversion"/>
  </si>
  <si>
    <t>주하랑 패
VS 란란Z
라데온</t>
    <phoneticPr fontId="1" type="noConversion"/>
  </si>
  <si>
    <t>토마토 패
VS 나예리 T
라데온</t>
    <phoneticPr fontId="1" type="noConversion"/>
  </si>
  <si>
    <t>햇살 패
VS 공다츠 Z
녹아웃</t>
    <phoneticPr fontId="1" type="noConversion"/>
  </si>
  <si>
    <t>치리 패
VS 깨림이 T
녹아웃</t>
    <phoneticPr fontId="1" type="noConversion"/>
  </si>
  <si>
    <t>토마토 패
VS 파찌 Z
폴리포이드</t>
    <phoneticPr fontId="1" type="noConversion"/>
  </si>
  <si>
    <t>임조이 패
VS 밍가 P
실피드</t>
    <phoneticPr fontId="1" type="noConversion"/>
  </si>
  <si>
    <t>햇살 패
VS 공다츠 Z
폴리포이드</t>
    <phoneticPr fontId="1" type="noConversion"/>
  </si>
  <si>
    <t>주하랑 지동원 배성흠 이경민 박쭈이</t>
    <phoneticPr fontId="1" type="noConversion"/>
  </si>
  <si>
    <t>수입뿌드 파도튜브 황병영 소주양 진땅콩</t>
    <phoneticPr fontId="1" type="noConversion"/>
  </si>
  <si>
    <t>스타 올인막기</t>
    <phoneticPr fontId="1" type="noConversion"/>
  </si>
  <si>
    <t>먼진 치리 김윤환 박준오 배성흠</t>
    <phoneticPr fontId="1" type="noConversion"/>
  </si>
  <si>
    <t>토마토 주하랑 진땅콩 파도튜브 박수범</t>
    <phoneticPr fontId="1" type="noConversion"/>
  </si>
  <si>
    <t>햇살 소주양 황병영 지동원 수입뿌드</t>
    <phoneticPr fontId="1" type="noConversion"/>
  </si>
  <si>
    <t>햇살 승
VS 요닝 Z
실피드</t>
    <phoneticPr fontId="1" type="noConversion"/>
  </si>
  <si>
    <t>햇살 승
VS 요닝 Z
라데온</t>
    <phoneticPr fontId="1" type="noConversion"/>
  </si>
  <si>
    <t>햇살 승
VS 요닝 Z
녹아웃</t>
    <phoneticPr fontId="1" type="noConversion"/>
  </si>
  <si>
    <t>햇살 패
VS 요닝 Z
폴리포이드</t>
    <phoneticPr fontId="1" type="noConversion"/>
  </si>
  <si>
    <t>황병영 승
VS 김민철 Z
녹아웃</t>
    <phoneticPr fontId="1" type="noConversion"/>
  </si>
  <si>
    <t>황병영 패
VS 김민철 Z
애티튜드</t>
    <phoneticPr fontId="1" type="noConversion"/>
  </si>
  <si>
    <t>황병영 패
VS 김민철 Z
매치포인트</t>
    <phoneticPr fontId="1" type="noConversion"/>
  </si>
  <si>
    <t>dlwjddls30</t>
  </si>
  <si>
    <t>소주양 패
VS 슈슈 Z
녹아웃</t>
    <phoneticPr fontId="1" type="noConversion"/>
  </si>
  <si>
    <t>소주양 승
VS 슈슈 Z
실피드</t>
    <phoneticPr fontId="1" type="noConversion"/>
  </si>
  <si>
    <t>소주양 승
VS 슈슈 Z
라데온</t>
    <phoneticPr fontId="1" type="noConversion"/>
  </si>
  <si>
    <t>토마토 승
VS 구보라 P
폴리포이드</t>
    <phoneticPr fontId="1" type="noConversion"/>
  </si>
  <si>
    <t>진땅콩 패
VS 냥냥코기 Z
실피드</t>
    <phoneticPr fontId="1" type="noConversion"/>
  </si>
  <si>
    <t>주하랑 승
VS 유이 T
녹아웃</t>
    <phoneticPr fontId="1" type="noConversion"/>
  </si>
  <si>
    <t>토마토 승
VS 구보라 P
라데온</t>
    <phoneticPr fontId="1" type="noConversion"/>
  </si>
  <si>
    <t>진땅콩 패
VS 냥냥코기 Z
라데온</t>
    <phoneticPr fontId="1" type="noConversion"/>
  </si>
  <si>
    <t>주하랑 패
VS 유이 T
폴리포이드</t>
    <phoneticPr fontId="1" type="noConversion"/>
  </si>
  <si>
    <t>토마토 패
VS 디임 P
폴리포이드</t>
    <phoneticPr fontId="1" type="noConversion"/>
  </si>
  <si>
    <t>소주양 승
VS 란란 Z
녹아웃</t>
    <phoneticPr fontId="1" type="noConversion"/>
  </si>
  <si>
    <t>박준오 패
VS 김윤중 P
실피드</t>
    <phoneticPr fontId="1" type="noConversion"/>
  </si>
  <si>
    <t>먼진 패
VS 효짱 P
실피드</t>
    <phoneticPr fontId="1" type="noConversion"/>
  </si>
  <si>
    <t>진땅콩 승
VS 이지다 Z
폴리포이드</t>
    <phoneticPr fontId="1" type="noConversion"/>
  </si>
  <si>
    <t>임조이 패
VS 남수댕 P
라데온</t>
    <phoneticPr fontId="1" type="noConversion"/>
  </si>
  <si>
    <t>소주양 패
VS 란란 Z
실피드</t>
    <phoneticPr fontId="1" type="noConversion"/>
  </si>
  <si>
    <t>황병영 패
VS 김성대 Z
녹아웃</t>
    <phoneticPr fontId="1" type="noConversion"/>
  </si>
  <si>
    <t>조일장 승
VS 이재호 T
애티튜드</t>
    <phoneticPr fontId="1" type="noConversion"/>
  </si>
  <si>
    <t>황병영 패
VS 김성대 Z
폴스타</t>
    <phoneticPr fontId="1" type="noConversion"/>
  </si>
  <si>
    <t>조일장 패
VS 이재호 T
매치포인트</t>
    <phoneticPr fontId="1" type="noConversion"/>
  </si>
  <si>
    <t>황병영 패
VS 이재호 T
녹아웃</t>
    <phoneticPr fontId="1" type="noConversion"/>
  </si>
  <si>
    <t>조일장 패
VS 김성대 Z
녹아웃</t>
    <phoneticPr fontId="1" type="noConversion"/>
  </si>
  <si>
    <t>황병영 승
VS 김성대 Z
실피드</t>
    <phoneticPr fontId="1" type="noConversion"/>
  </si>
  <si>
    <t>조일장 승
VS 이재호 T
옥타곤</t>
    <phoneticPr fontId="1" type="noConversion"/>
  </si>
  <si>
    <t>황병영 승
VS 김성대 Z
애티튜드</t>
    <phoneticPr fontId="1" type="noConversion"/>
  </si>
  <si>
    <t>황병영 승
VS 김성대 Z
폴스타</t>
    <phoneticPr fontId="1" type="noConversion"/>
  </si>
  <si>
    <t>먼진 패
VS 수니양 T
녹아웃</t>
    <phoneticPr fontId="1" type="noConversion"/>
  </si>
  <si>
    <t>임조이 패
VS 비타밍 T
녹아웃</t>
    <phoneticPr fontId="1" type="noConversion"/>
  </si>
  <si>
    <t>먼진 패
VS 수니양 T
실피드</t>
    <phoneticPr fontId="1" type="noConversion"/>
  </si>
  <si>
    <t>임조이 패
VS 비타밍 T
라데온</t>
    <phoneticPr fontId="1" type="noConversion"/>
  </si>
  <si>
    <t>먼진 승
VS 수니양 T
라데온</t>
    <phoneticPr fontId="1" type="noConversion"/>
  </si>
  <si>
    <t>지동원 승
VS 이창우 Z
제인도</t>
    <phoneticPr fontId="1" type="noConversion"/>
  </si>
  <si>
    <t>이경민 패
VS 얍삽이 Z
실피드</t>
    <phoneticPr fontId="1" type="noConversion"/>
  </si>
  <si>
    <t>박준오 패
VS 진영화 P
녹아웃</t>
    <phoneticPr fontId="1" type="noConversion"/>
  </si>
  <si>
    <t>김윤환 패
VS 만두호성 T
폴스타</t>
    <phoneticPr fontId="1" type="noConversion"/>
  </si>
  <si>
    <t>박수범 패
VS 이영한 Z
애티튜드</t>
    <phoneticPr fontId="1" type="noConversion"/>
  </si>
  <si>
    <t>이경민 승
VS 얍삽이 Z
실피드</t>
    <phoneticPr fontId="1" type="noConversion"/>
  </si>
  <si>
    <t>이경민 승
VS 이영한 Z
애티튜드</t>
    <phoneticPr fontId="1" type="noConversion"/>
  </si>
  <si>
    <t>이경민 패
VS 진영화 P
매치포인트</t>
    <phoneticPr fontId="1" type="noConversion"/>
  </si>
  <si>
    <t>김윤환 패
VS 진영화 P
옥타곤</t>
    <phoneticPr fontId="1" type="noConversion"/>
  </si>
  <si>
    <t>지동원 승
VS 진영화 P
폴스타</t>
    <phoneticPr fontId="1" type="noConversion"/>
  </si>
  <si>
    <t>지동원 패
VS 만두호성 T
실피드</t>
    <phoneticPr fontId="1" type="noConversion"/>
  </si>
  <si>
    <t>박수범 승
VS 만두호성 T
폴스타</t>
    <phoneticPr fontId="1" type="noConversion"/>
  </si>
  <si>
    <t>지동원 패
VS 진영화 P
실피드</t>
    <phoneticPr fontId="1" type="noConversion"/>
  </si>
  <si>
    <t>`</t>
    <phoneticPr fontId="1" type="noConversion"/>
  </si>
  <si>
    <t>햇살 승
VS 빵리나 P
녹아웃</t>
    <phoneticPr fontId="1" type="noConversion"/>
  </si>
  <si>
    <t>먼진 승
VS 은서 P
실피드</t>
    <phoneticPr fontId="1" type="noConversion"/>
  </si>
  <si>
    <t>소주양 승
VS 설둥이 P
실피드</t>
    <phoneticPr fontId="1" type="noConversion"/>
  </si>
  <si>
    <t>소주양 승
VS 오하얀 P
라데온</t>
    <phoneticPr fontId="1" type="noConversion"/>
  </si>
  <si>
    <t>임조이 승
VS 김채이 P
실피드</t>
    <phoneticPr fontId="1" type="noConversion"/>
  </si>
  <si>
    <t>치리 승
VS 설둥이 P
폴리포이드</t>
    <phoneticPr fontId="1" type="noConversion"/>
  </si>
  <si>
    <t>김윤환 소주양 황병영 파도튜브 임조이 먼진</t>
    <phoneticPr fontId="1" type="noConversion"/>
  </si>
  <si>
    <t>박준오 진땅콩 치리 배성흠 박쭈이 햇살</t>
    <phoneticPr fontId="1" type="noConversion"/>
  </si>
  <si>
    <t>임조이 승
VS 연블비 Z
녹아웃</t>
    <phoneticPr fontId="1" type="noConversion"/>
  </si>
  <si>
    <t>소주양 패
VS 예실 P
폴리포이드</t>
    <phoneticPr fontId="1" type="noConversion"/>
  </si>
  <si>
    <t>토마토 패
VS 초롱빡 P
실피드</t>
    <phoneticPr fontId="1" type="noConversion"/>
  </si>
  <si>
    <t>주하랑 패
VS 슈슈 Z
실피드</t>
    <phoneticPr fontId="1" type="noConversion"/>
  </si>
  <si>
    <t>진땅콩 승
VS 다라츄 Z
라데온</t>
    <phoneticPr fontId="1" type="noConversion"/>
  </si>
  <si>
    <t>주하랑 승
VS 예실 P
실피드</t>
    <phoneticPr fontId="1" type="noConversion"/>
  </si>
  <si>
    <t>토마토 승
VS 초롱빡 P
폴리포이드</t>
    <phoneticPr fontId="1" type="noConversion"/>
  </si>
  <si>
    <t>토마토 패
VS 초롱빡 P
라데온</t>
    <phoneticPr fontId="1" type="noConversion"/>
  </si>
  <si>
    <t>대회</t>
  </si>
  <si>
    <t>황병영 패
VS 홍구
제인도</t>
    <phoneticPr fontId="1" type="noConversion"/>
  </si>
  <si>
    <t>소주양 패
VS 나린 Z
라데온</t>
    <phoneticPr fontId="1" type="noConversion"/>
  </si>
  <si>
    <t>진땅콩 패
VS 백원이야 Z
녹아웃</t>
    <phoneticPr fontId="1" type="noConversion"/>
  </si>
  <si>
    <t>임조이 승
VS 김태향 Z
폴리포이드</t>
    <phoneticPr fontId="1" type="noConversion"/>
  </si>
  <si>
    <t>먼진 승
VS 밥새 T
폴리포이드</t>
    <phoneticPr fontId="1" type="noConversion"/>
  </si>
  <si>
    <t>조일장 패
VS 조기석 T
녹아웃</t>
    <phoneticPr fontId="1" type="noConversion"/>
  </si>
  <si>
    <t>토마토 패
VS 라미 Z
라데온</t>
    <phoneticPr fontId="1" type="noConversion"/>
  </si>
  <si>
    <t>김윤환 소주양 진땅콩 주하랑 황병영 치리 먼진 배성흠 임조이</t>
    <phoneticPr fontId="1" type="noConversion"/>
  </si>
  <si>
    <t xml:space="preserve">수입뿌드 박준오 지동원 이경민 토마토 파도튜브 햇살 박수범 박쭈이  </t>
    <phoneticPr fontId="1" type="noConversion"/>
  </si>
  <si>
    <t>조일장 패
VS 짭제 Z
폴스타</t>
    <phoneticPr fontId="1" type="noConversion"/>
  </si>
  <si>
    <t>치리 승
VS 주서리 P
라데온</t>
    <phoneticPr fontId="1" type="noConversion"/>
  </si>
  <si>
    <t>햇살 승
VS 공다츠 Z
폴리포이드</t>
    <phoneticPr fontId="1" type="noConversion"/>
  </si>
  <si>
    <t>토마토 승
VS 파찌 Z
라데온</t>
    <phoneticPr fontId="1" type="noConversion"/>
  </si>
  <si>
    <t>진땅콩 패
VS 행복짱 Z
폴리포이드</t>
    <phoneticPr fontId="1" type="noConversion"/>
  </si>
  <si>
    <t>임조이 패
VS 밍가 P
녹아웃</t>
    <phoneticPr fontId="1" type="noConversion"/>
  </si>
  <si>
    <t>먼진 승
VS 핑핑 Z
녹아웃</t>
    <phoneticPr fontId="1" type="noConversion"/>
  </si>
  <si>
    <t>주하랑 승
VS 깨림이 T
실피드</t>
    <phoneticPr fontId="1" type="noConversion"/>
  </si>
  <si>
    <t>진땅콩 T</t>
    <phoneticPr fontId="1" type="noConversion"/>
  </si>
  <si>
    <t>노적단</t>
    <phoneticPr fontId="1" type="noConversion"/>
  </si>
  <si>
    <t>임조이 패
VS 엄보리 P
실피드</t>
    <phoneticPr fontId="1" type="noConversion"/>
  </si>
  <si>
    <t>주하랑 승
VS 시녕뭉 Z
녹아웃</t>
    <phoneticPr fontId="1" type="noConversion"/>
  </si>
  <si>
    <t>토마토 패
VS 하리 P
실피드</t>
    <phoneticPr fontId="1" type="noConversion"/>
  </si>
  <si>
    <t>진땅콩 패
VS 엄키키 P
라데온</t>
    <phoneticPr fontId="1" type="noConversion"/>
  </si>
  <si>
    <t>햇살 패
VS 링고 P
라데온</t>
    <phoneticPr fontId="1" type="noConversion"/>
  </si>
  <si>
    <t>토마토 승
VS 김인호 Z
폴리포이드</t>
    <phoneticPr fontId="1" type="noConversion"/>
  </si>
  <si>
    <t>박쭈이 승
VS 우질 P
폴리포이드</t>
    <phoneticPr fontId="1" type="noConversion"/>
  </si>
  <si>
    <t>소주양 패
VS 아라미 Z
실피드</t>
    <phoneticPr fontId="1" type="noConversion"/>
  </si>
  <si>
    <t>비타밍 승
VS 2라니 Z
라데온</t>
    <phoneticPr fontId="1" type="noConversion"/>
  </si>
  <si>
    <t>임조이 승
VS 김무아 P
실피드</t>
    <phoneticPr fontId="1" type="noConversion"/>
  </si>
  <si>
    <t>비타밍</t>
  </si>
  <si>
    <t>이경민 먼진 비타밍</t>
    <phoneticPr fontId="1" type="noConversion"/>
  </si>
  <si>
    <t>토마토 임조이 박쭈이</t>
    <phoneticPr fontId="1" type="noConversion"/>
  </si>
  <si>
    <t>소주양 주하랑 진땅콩</t>
    <phoneticPr fontId="1" type="noConversion"/>
  </si>
  <si>
    <t>이경민 변현제 배성흠 비타밍 임조이 치리</t>
    <phoneticPr fontId="1" type="noConversion"/>
  </si>
  <si>
    <t>김윤환 윤수철 김성대 파도튜브 소주양 토마토</t>
    <phoneticPr fontId="1" type="noConversion"/>
  </si>
  <si>
    <t>아리송이</t>
  </si>
  <si>
    <t>seemin88</t>
  </si>
  <si>
    <t>지두두</t>
  </si>
  <si>
    <t>wjswlgns09</t>
  </si>
  <si>
    <t>vldpfm2</t>
  </si>
  <si>
    <t>온리업</t>
    <phoneticPr fontId="1" type="noConversion"/>
  </si>
  <si>
    <t>김윤환 비타밍 아리송이 진땅콩 이경민 지두두 주하랑 배성흐</t>
    <phoneticPr fontId="1" type="noConversion"/>
  </si>
  <si>
    <t xml:space="preserve">토마토 먼진 소주양 치리 박준오 파도튜브 지동원 박수범 </t>
    <phoneticPr fontId="1" type="noConversion"/>
  </si>
  <si>
    <t>아리송</t>
    <phoneticPr fontId="1" type="noConversion"/>
  </si>
  <si>
    <t>치리 지두두 박준오 임조이 지동원 이경민 아리송이</t>
    <phoneticPr fontId="1" type="noConversion"/>
  </si>
  <si>
    <t>진땅콩 토마토 박수범 비타밍 김윤환 배성흠 먼진 소주양</t>
    <phoneticPr fontId="1" type="noConversion"/>
  </si>
  <si>
    <t>김경모 라미 다나짱 박듀듀 김정우 변현제</t>
    <phoneticPr fontId="1" type="noConversion"/>
  </si>
  <si>
    <t>갱이다 지두두 토마토 김윤환 수입뿌드 김성대</t>
    <phoneticPr fontId="1" type="noConversion"/>
  </si>
  <si>
    <t>롤</t>
    <phoneticPr fontId="1" type="noConversion"/>
  </si>
  <si>
    <t>김윤환 김정우 변현제 박성균 김성대</t>
    <phoneticPr fontId="1" type="noConversion"/>
  </si>
  <si>
    <t>김경모 김윤중 지동원 려원 지두두</t>
    <phoneticPr fontId="1" type="noConversion"/>
  </si>
  <si>
    <t>박준오 임조이 먼진</t>
    <phoneticPr fontId="1" type="noConversion"/>
  </si>
  <si>
    <t>지동원 지두두 비타밍</t>
    <phoneticPr fontId="1" type="noConversion"/>
  </si>
  <si>
    <t>지두두 비타밍 배성흠 2라니</t>
    <phoneticPr fontId="1" type="noConversion"/>
  </si>
  <si>
    <t>스타 래더빙고</t>
    <phoneticPr fontId="1" type="noConversion"/>
  </si>
  <si>
    <t>지두두 비타밍 소주양 아리송이 먼진 박준오 배성흠</t>
    <phoneticPr fontId="1" type="noConversion"/>
  </si>
  <si>
    <t>지두두 아리송이</t>
    <phoneticPr fontId="1" type="noConversion"/>
  </si>
  <si>
    <t>비타밍 먼진</t>
    <phoneticPr fontId="1" type="noConversion"/>
  </si>
  <si>
    <t>이경민 주하랑 진땅콩</t>
    <phoneticPr fontId="1" type="noConversion"/>
  </si>
  <si>
    <t>베성흠 비타밍 아리송이</t>
    <phoneticPr fontId="1" type="noConversion"/>
  </si>
  <si>
    <t>토마토 임조이 먼진</t>
    <phoneticPr fontId="1" type="noConversion"/>
  </si>
  <si>
    <t>miiing0620</t>
  </si>
  <si>
    <t>김윤환 먼진 지두두 토마토 지동원 아리송이 사테</t>
    <phoneticPr fontId="1" type="noConversion"/>
  </si>
  <si>
    <t>alaelddl97</t>
  </si>
  <si>
    <t>hoonykkk</t>
  </si>
  <si>
    <t>S5</t>
    <phoneticPr fontId="1" type="noConversion"/>
  </si>
  <si>
    <t>시즌5</t>
  </si>
  <si>
    <t>전태규, 임진묵</t>
    <phoneticPr fontId="1" type="noConversion"/>
  </si>
  <si>
    <t>소주양 주하랑 이경민 비타밍 찌킹 배성흠 파도튜브</t>
    <phoneticPr fontId="1" type="noConversion"/>
  </si>
  <si>
    <t>품멜파티</t>
    <phoneticPr fontId="1" type="noConversion"/>
  </si>
  <si>
    <t>토마토 지두두 먼진</t>
    <phoneticPr fontId="1" type="noConversion"/>
  </si>
  <si>
    <t>사테 아리송이 찌킹</t>
    <phoneticPr fontId="1" type="noConversion"/>
  </si>
  <si>
    <t>수입뿌드 토마토 비타밍 지두두 정경두 주하랑</t>
    <phoneticPr fontId="1" type="noConversion"/>
  </si>
  <si>
    <t>박듀듀 찌킹 오조은 요닝 지동원 클템</t>
    <phoneticPr fontId="1" type="noConversion"/>
  </si>
  <si>
    <t>피코파크</t>
    <phoneticPr fontId="1" type="noConversion"/>
  </si>
  <si>
    <t>토마토 비타밍 지동원 사테 박준오 찌킹 파도튜브</t>
    <phoneticPr fontId="1" type="noConversion"/>
  </si>
  <si>
    <t>데바데</t>
    <phoneticPr fontId="1" type="noConversion"/>
  </si>
  <si>
    <t>사테 패
VS 김윤중 P
실피드</t>
    <phoneticPr fontId="1" type="noConversion"/>
  </si>
  <si>
    <t>비타밍 패
VS 박하악 Z
라데온</t>
    <phoneticPr fontId="1" type="noConversion"/>
  </si>
  <si>
    <t>지두두 패
VS 요닝 Z
녹아웃</t>
    <phoneticPr fontId="1" type="noConversion"/>
  </si>
  <si>
    <t>지동원 패
VS 박재혁 Z
폴스타</t>
    <phoneticPr fontId="1" type="noConversion"/>
  </si>
  <si>
    <t>소주양 패
VS 란란 Z
폴리포이드</t>
    <phoneticPr fontId="1" type="noConversion"/>
  </si>
  <si>
    <t>비타밍 패
VS 박하악 Z
폴리포이드</t>
    <phoneticPr fontId="1" type="noConversion"/>
  </si>
  <si>
    <t>비타밍 승
VS 박하악 Z
폴리포이드</t>
    <phoneticPr fontId="1" type="noConversion"/>
  </si>
  <si>
    <t>지동원 승
VS 박재혁 Z
실피드</t>
    <phoneticPr fontId="1" type="noConversion"/>
  </si>
  <si>
    <t>사테 승
VS 김윤중 P
실피드</t>
    <phoneticPr fontId="1" type="noConversion"/>
  </si>
  <si>
    <t>주하랑 토마토 먼진</t>
    <phoneticPr fontId="1" type="noConversion"/>
  </si>
  <si>
    <t>박듀듀 아리송이 파도튜브</t>
    <phoneticPr fontId="1" type="noConversion"/>
  </si>
  <si>
    <t>DM</t>
  </si>
  <si>
    <t>DM</t>
    <phoneticPr fontId="1" type="noConversion"/>
  </si>
  <si>
    <t>캄성여대, 바스포드, JSA, 정선대, DM</t>
  </si>
  <si>
    <t>석사관, JSA, 씨나인, 정선대, DM</t>
  </si>
  <si>
    <t>늪지대, 소림사, 거성대, 엠비대, 이노대, DM</t>
  </si>
  <si>
    <t>JSA, NASA, YB, YB, 이노대, DM</t>
  </si>
  <si>
    <t>정선대, DM</t>
  </si>
  <si>
    <t>tndkekdy</t>
  </si>
  <si>
    <t>낭니</t>
    <phoneticPr fontId="1" type="noConversion"/>
  </si>
  <si>
    <t>ara9687</t>
  </si>
  <si>
    <t>sksmsskdsl10</t>
  </si>
  <si>
    <t>zinsim</t>
  </si>
  <si>
    <t>신세계</t>
  </si>
  <si>
    <t>신세계</t>
    <phoneticPr fontId="1" type="noConversion"/>
  </si>
  <si>
    <t>설영욱</t>
    <phoneticPr fontId="1" type="noConversion"/>
  </si>
  <si>
    <t>드림즈</t>
  </si>
  <si>
    <t>드림즈</t>
    <phoneticPr fontId="1" type="noConversion"/>
  </si>
  <si>
    <t>캄몬스타즈</t>
  </si>
  <si>
    <t>캄몬스타즈</t>
    <phoneticPr fontId="1" type="noConversion"/>
  </si>
  <si>
    <t>츠캄 몬스타즈</t>
    <phoneticPr fontId="1" type="noConversion"/>
  </si>
  <si>
    <t>jooyoung0040</t>
  </si>
  <si>
    <t>ode0411</t>
  </si>
  <si>
    <t>kidsaoq</t>
  </si>
  <si>
    <t>tamama88</t>
  </si>
  <si>
    <t>rldyal71</t>
  </si>
  <si>
    <t>littlekim12</t>
  </si>
  <si>
    <t>happyhee97</t>
  </si>
  <si>
    <t>janjanoo</t>
  </si>
  <si>
    <t>e2003jin</t>
  </si>
  <si>
    <t>faker1004</t>
  </si>
  <si>
    <t>j4141h</t>
  </si>
  <si>
    <t>nmirifo7795</t>
  </si>
  <si>
    <t>sulstyle00</t>
  </si>
  <si>
    <t>더블비</t>
  </si>
  <si>
    <t>더블비</t>
    <phoneticPr fontId="1" type="noConversion"/>
  </si>
  <si>
    <t>mede1234</t>
  </si>
  <si>
    <t>bye1013</t>
  </si>
  <si>
    <t>minchul</t>
  </si>
  <si>
    <t>rnaqpdrjf</t>
  </si>
  <si>
    <t>C1</t>
    <phoneticPr fontId="1" type="noConversion"/>
  </si>
  <si>
    <t>주하랑 승
VS 소주양 패
녹아웃</t>
    <phoneticPr fontId="1" type="noConversion"/>
  </si>
  <si>
    <t>박수범 승
VS 지동원 패
폴스타</t>
    <phoneticPr fontId="1" type="noConversion"/>
  </si>
  <si>
    <t>주하랑 패
VS 소주양 승
라데온</t>
    <phoneticPr fontId="1" type="noConversion"/>
  </si>
  <si>
    <t>박수범 패
VS 지동원 승
매치포인트</t>
    <phoneticPr fontId="1" type="noConversion"/>
  </si>
  <si>
    <t>주하랑 승
VS 소주양 패
폴리포이드</t>
    <phoneticPr fontId="1" type="noConversion"/>
  </si>
  <si>
    <t>박수범 승
VS 지동원 패
제인도</t>
    <phoneticPr fontId="1" type="noConversion"/>
  </si>
  <si>
    <t>주하랑 승
VS 소주양 패
실피드</t>
    <phoneticPr fontId="1" type="noConversion"/>
  </si>
  <si>
    <t>박준오 승
VS 윤용태 P
옥타곤</t>
    <phoneticPr fontId="1" type="noConversion"/>
  </si>
  <si>
    <t>찌킹 승
VS 뚜미 T
라데온</t>
    <phoneticPr fontId="1" type="noConversion"/>
  </si>
  <si>
    <t>김윤환 승
VS 만두호성 T
옥타곤</t>
    <phoneticPr fontId="1" type="noConversion"/>
  </si>
  <si>
    <t>배성흠 패
VS 배호딱 T
녹아웃</t>
    <phoneticPr fontId="1" type="noConversion"/>
  </si>
  <si>
    <t>먼진 승
VS 사사삼 P
녹아웃</t>
    <phoneticPr fontId="1" type="noConversion"/>
  </si>
  <si>
    <t>김윤환 승
VS 만두호성 T
녹아웃</t>
    <phoneticPr fontId="1" type="noConversion"/>
  </si>
  <si>
    <t>찌킹 승
VS 뚜미 T
폴리포이드</t>
    <phoneticPr fontId="1" type="noConversion"/>
  </si>
  <si>
    <t>아리송이 승
VS 면추가 Z
실피드</t>
    <phoneticPr fontId="1" type="noConversion"/>
  </si>
  <si>
    <t>진땅콩 승
VS 은조 Z
라데온</t>
    <phoneticPr fontId="1" type="noConversion"/>
  </si>
  <si>
    <t>파도튜브 패
VS 정소윤 Z
실피드</t>
    <phoneticPr fontId="1" type="noConversion"/>
  </si>
  <si>
    <t>아리송이 승
VS 면추가 Z
폴리포이드</t>
    <phoneticPr fontId="1" type="noConversion"/>
  </si>
  <si>
    <t>진땅콩 승
VS 은조 Z
실피드</t>
    <phoneticPr fontId="1" type="noConversion"/>
  </si>
  <si>
    <t>파도튜브 승
VS 정소윤 Z
라데온</t>
    <phoneticPr fontId="1" type="noConversion"/>
  </si>
  <si>
    <t>아리송이 패
VS 면추가 Z
라데온</t>
    <phoneticPr fontId="1" type="noConversion"/>
  </si>
  <si>
    <t>진땅콩 승
VS 은조 Z
폴리포이드</t>
    <phoneticPr fontId="1" type="noConversion"/>
  </si>
  <si>
    <t>파도튜브 승
VS 정소윤 Z
폴리포이드</t>
    <phoneticPr fontId="1" type="noConversion"/>
  </si>
  <si>
    <t>지동원 패
VS 이경민 승
제인도</t>
    <phoneticPr fontId="1" type="noConversion"/>
  </si>
  <si>
    <t>아리송이 승
VS 먼진 패
라데온</t>
    <phoneticPr fontId="1" type="noConversion"/>
  </si>
  <si>
    <t>배성흠 패
VS 이경민 승
제인도</t>
    <phoneticPr fontId="1" type="noConversion"/>
  </si>
  <si>
    <t>소주양 승
VS 주하랑 패
녹아웃</t>
    <phoneticPr fontId="1" type="noConversion"/>
  </si>
  <si>
    <t>비타밍 패
VS 임조이 승
녹아웃</t>
    <phoneticPr fontId="1" type="noConversion"/>
  </si>
  <si>
    <t>지두두 패
VS 토마토 승
라데온</t>
    <phoneticPr fontId="1" type="noConversion"/>
  </si>
  <si>
    <t>찌킹 패
VS 치리 승
폴리포이드</t>
    <phoneticPr fontId="1" type="noConversion"/>
  </si>
  <si>
    <t>김윤환 패
VS 박수범 승
녹아웃</t>
    <phoneticPr fontId="1" type="noConversion"/>
  </si>
  <si>
    <t>먼진 승
VS 막내현진 P
녹아웃</t>
    <phoneticPr fontId="1" type="noConversion"/>
  </si>
  <si>
    <t>아리송이 패
VS 퀸주 Z
실피드</t>
    <phoneticPr fontId="1" type="noConversion"/>
  </si>
  <si>
    <t>찌킹 승
VS 최도랑 P
라데온</t>
    <phoneticPr fontId="1" type="noConversion"/>
  </si>
  <si>
    <t>소주양 승
VS 백갑숙 P
실피드</t>
    <phoneticPr fontId="1" type="noConversion"/>
  </si>
  <si>
    <t>진땅콩 패
VS 밍또얌 T
라데온</t>
    <phoneticPr fontId="1" type="noConversion"/>
  </si>
  <si>
    <t>먼진 패
VS 막내현진 P
폴리포이드</t>
    <phoneticPr fontId="1" type="noConversion"/>
  </si>
  <si>
    <t>아리송이 승
VS 퀸주 Z
폴리포이드</t>
    <phoneticPr fontId="1" type="noConversion"/>
  </si>
  <si>
    <t>지동원 패
VS 김윤환 승
실피드</t>
    <phoneticPr fontId="1" type="noConversion"/>
  </si>
  <si>
    <t>임조이 패
VS 비타밍 승
라데온</t>
    <phoneticPr fontId="1" type="noConversion"/>
  </si>
  <si>
    <t>지두두 승
VS 토마토 패
라데온</t>
    <phoneticPr fontId="1" type="noConversion"/>
  </si>
  <si>
    <t>박준오 승
VS 박수범 패
라데온</t>
    <phoneticPr fontId="1" type="noConversion"/>
  </si>
  <si>
    <t>치리 승
VS 소주양 패
녹아웃</t>
    <phoneticPr fontId="1" type="noConversion"/>
  </si>
  <si>
    <t>이경민 승
VS 배성흠 패
녹아웃</t>
    <phoneticPr fontId="1" type="noConversion"/>
  </si>
  <si>
    <t>캄몬1</t>
  </si>
  <si>
    <t>지동원 패
VS 김범수 P
폴스타</t>
    <phoneticPr fontId="1" type="noConversion"/>
  </si>
  <si>
    <t xml:space="preserve">파도튜브 패
VS 박성준 Z
라데온 </t>
    <phoneticPr fontId="1" type="noConversion"/>
  </si>
  <si>
    <t>김윤환 승
VS 왜냐맨 P
옥타곤</t>
    <phoneticPr fontId="1" type="noConversion"/>
  </si>
  <si>
    <t>박준오 패
VS 박성균 T
매치포인트</t>
    <phoneticPr fontId="1" type="noConversion"/>
  </si>
  <si>
    <t>박수범 승
VS 구성훈 T
제인도</t>
    <phoneticPr fontId="1" type="noConversion"/>
  </si>
  <si>
    <t>사테 패
VS 김성대 Z
실피드</t>
    <phoneticPr fontId="1" type="noConversion"/>
  </si>
  <si>
    <t>임조이 승
VS 김채이 P
폴리포이드</t>
    <phoneticPr fontId="1" type="noConversion"/>
  </si>
  <si>
    <t>소주양 패
VS 시녕뭉 Z
폴리포이드</t>
    <phoneticPr fontId="1" type="noConversion"/>
  </si>
  <si>
    <t>치리 패
VS 최세상 T
녹아웃</t>
    <phoneticPr fontId="1" type="noConversion"/>
  </si>
  <si>
    <t>아리송이 승
VS 정다닝 T
녹아웃</t>
    <phoneticPr fontId="1" type="noConversion"/>
  </si>
  <si>
    <t>주하랑 패
VS 오하얀 P
 실피드</t>
    <phoneticPr fontId="1" type="noConversion"/>
  </si>
  <si>
    <t>지두두 승
VS 구보라 P
라데온</t>
    <phoneticPr fontId="1" type="noConversion"/>
  </si>
  <si>
    <t>진땅콩 승
VS 권아온 Z
폴리포이드</t>
    <phoneticPr fontId="1" type="noConversion"/>
  </si>
  <si>
    <t>아리송이 패
VS 정다닝 T
녹아웃</t>
    <phoneticPr fontId="1" type="noConversion"/>
  </si>
  <si>
    <t>주하랑 패
VS 오하얀 P
실피드</t>
    <phoneticPr fontId="1" type="noConversion"/>
  </si>
  <si>
    <t>배성흠 승
VS 미후 T
녹아웃</t>
    <phoneticPr fontId="1" type="noConversion"/>
  </si>
  <si>
    <t>지동원 패
VS 미후 T
옥타곤</t>
    <phoneticPr fontId="1" type="noConversion"/>
  </si>
  <si>
    <t>지동원 승
VS 제이스타 P
매치포인트</t>
    <phoneticPr fontId="1" type="noConversion"/>
  </si>
  <si>
    <t>배성흠 패
VS 사오슈아이 Z
폴스타</t>
    <phoneticPr fontId="1" type="noConversion"/>
  </si>
  <si>
    <t>박수범 승
VS 사오슈아이 Z
실피드</t>
    <phoneticPr fontId="1" type="noConversion"/>
  </si>
  <si>
    <t>배성흠 패
VS 민찬기 T
애티튜드</t>
  </si>
  <si>
    <t>박수범 패
VS 제이스타 P
애티튜드</t>
  </si>
  <si>
    <t>지동원 승
VS 사오슈아이 Z
실피드</t>
    <phoneticPr fontId="1" type="noConversion"/>
  </si>
  <si>
    <t>지동원 승
VS 제이스타 P
폴스타</t>
    <phoneticPr fontId="1" type="noConversion"/>
  </si>
  <si>
    <t>찌킹 승
VS 몽순 Z
폴리포이드</t>
    <phoneticPr fontId="1" type="noConversion"/>
  </si>
  <si>
    <t>먼진 패
VS 햇참새 P
라데온</t>
    <phoneticPr fontId="1" type="noConversion"/>
  </si>
  <si>
    <t>찌킹 승
VS 몽순 Z
녹아웃</t>
    <phoneticPr fontId="1" type="noConversion"/>
  </si>
  <si>
    <t>먼진 패
VS 햇참새 P
폴리포이드</t>
    <phoneticPr fontId="1" type="noConversion"/>
  </si>
  <si>
    <t>찌킹 승
VS 몽순 Z
라데온</t>
    <phoneticPr fontId="1" type="noConversion"/>
  </si>
  <si>
    <t>먼진 패
VS 햇참새 P
녹아웃</t>
    <phoneticPr fontId="1" type="noConversion"/>
  </si>
  <si>
    <t>찌킹 패
VS 몽순 Z
녹아웃</t>
    <phoneticPr fontId="1" type="noConversion"/>
  </si>
  <si>
    <t>찌킹 패
VS 나린 Z
녹아웃</t>
    <phoneticPr fontId="1" type="noConversion"/>
  </si>
  <si>
    <t>진땅콩 패
VS 백원이야 Z
폴리포이드</t>
    <phoneticPr fontId="1" type="noConversion"/>
  </si>
  <si>
    <t>지두두 패
VS 소심 T
라데온</t>
    <phoneticPr fontId="1" type="noConversion"/>
  </si>
  <si>
    <t>아리송이 패
VS 쟈닌 Z
폴리포이드</t>
    <phoneticPr fontId="1" type="noConversion"/>
  </si>
  <si>
    <t>지두두 패
VS 디임 P
녹아웃</t>
    <phoneticPr fontId="1" type="noConversion"/>
  </si>
  <si>
    <t>토마토 패
VS 요닝 Z
폴리포이드</t>
    <phoneticPr fontId="1" type="noConversion"/>
  </si>
  <si>
    <t>비타밍 승
VS 효짱 P
녹아웃</t>
    <phoneticPr fontId="1" type="noConversion"/>
  </si>
  <si>
    <t>소주양 승
VS 란란 Z
라데온</t>
    <phoneticPr fontId="1" type="noConversion"/>
  </si>
  <si>
    <t>임조이 패
VS 모리 T
녹아웃</t>
    <phoneticPr fontId="1" type="noConversion"/>
  </si>
  <si>
    <t>치리 승
VS 남수댕 P
녹아웃</t>
    <phoneticPr fontId="1" type="noConversion"/>
  </si>
  <si>
    <t>찌킹 패
VS 졈니 P
폴리포이드</t>
    <phoneticPr fontId="1" type="noConversion"/>
  </si>
  <si>
    <t>찌킹 패
VS 링고 P
녹아웃</t>
    <phoneticPr fontId="1" type="noConversion"/>
  </si>
  <si>
    <t>임조이 승
VS 선정은 T
폴리포이드</t>
    <phoneticPr fontId="1" type="noConversion"/>
  </si>
  <si>
    <t>지두두 패
VS 라미 Z
녹아웃</t>
    <phoneticPr fontId="1" type="noConversion"/>
  </si>
  <si>
    <t>진땅콩 승
VS 루다 Z
녹아웃</t>
    <phoneticPr fontId="1" type="noConversion"/>
  </si>
  <si>
    <t>찌킹 패
VS 링고 P
라데온</t>
    <phoneticPr fontId="1" type="noConversion"/>
  </si>
  <si>
    <t>임조이 승
VS 선정은 T
라데온</t>
    <phoneticPr fontId="1" type="noConversion"/>
  </si>
  <si>
    <t>지두두 패
VS 라미 Z
폴리포이드</t>
    <phoneticPr fontId="1" type="noConversion"/>
  </si>
  <si>
    <t>진땅콩 패
VS 루다 Z
폴리포이드</t>
    <phoneticPr fontId="1" type="noConversion"/>
  </si>
  <si>
    <t>먼진 승
VS 김말랑 T
라데온</t>
    <phoneticPr fontId="1" type="noConversion"/>
  </si>
  <si>
    <t>치리 승
VS 오하얀 P
폴리포이드</t>
    <phoneticPr fontId="1" type="noConversion"/>
  </si>
  <si>
    <t xml:space="preserve">지두두 승
VS 기나P
라데온 </t>
    <phoneticPr fontId="1" type="noConversion"/>
  </si>
  <si>
    <t>진땅콩 패
VS 밤하밍 T
녹아웃</t>
    <phoneticPr fontId="1" type="noConversion"/>
  </si>
  <si>
    <t>진땅콩 패
VS 밤하밍 T
폴리포이드</t>
    <phoneticPr fontId="1" type="noConversion"/>
  </si>
  <si>
    <t>치리 패
VS 오하얀 P
녹아웃</t>
    <phoneticPr fontId="1" type="noConversion"/>
  </si>
  <si>
    <t>치리 승
VS 뚜비 T
폴리포이드</t>
    <phoneticPr fontId="1" type="noConversion"/>
  </si>
  <si>
    <t>소주양 패
VS 오하얀 P
라데온</t>
    <phoneticPr fontId="1" type="noConversion"/>
  </si>
  <si>
    <t>지두두 패
VS 빵리나 P
폴리포이드</t>
    <phoneticPr fontId="1" type="noConversion"/>
  </si>
  <si>
    <t>소주양 승
VS 오하얀 P
폴리포이드</t>
    <phoneticPr fontId="1" type="noConversion"/>
  </si>
  <si>
    <t>지두두 승
VS 빵리나 P
녹아웃</t>
    <phoneticPr fontId="1" type="noConversion"/>
  </si>
  <si>
    <t>치리 패
VS 뚜비 T
라데온</t>
    <phoneticPr fontId="1" type="noConversion"/>
  </si>
  <si>
    <t>2026 정선숲퍼컵</t>
    <phoneticPr fontId="1" type="noConversion"/>
  </si>
  <si>
    <t>비타밍 패
VS 하두링 P
녹아웃</t>
    <phoneticPr fontId="1" type="noConversion"/>
  </si>
  <si>
    <t>진땅콩 승
VS 밤하밍 T
폴리포이드</t>
    <phoneticPr fontId="1" type="noConversion"/>
  </si>
  <si>
    <t>소주양 패
VS 시녕뭉 Z
녹아웃</t>
    <phoneticPr fontId="1" type="noConversion"/>
  </si>
  <si>
    <t>아리송이 승
VS 제갈츄빈 T
녹아웃</t>
    <phoneticPr fontId="1" type="noConversion"/>
  </si>
  <si>
    <t>아리송이 승
VS 제갈츄빈 T
폴리포이드</t>
    <phoneticPr fontId="1" type="noConversion"/>
  </si>
  <si>
    <t>토마토 승
VS 구보라 P
녹아웃</t>
    <phoneticPr fontId="1" type="noConversion"/>
  </si>
  <si>
    <t>5/3</t>
  </si>
  <si>
    <t>소주양 패
VS 설둥이 P
녹아웃</t>
    <phoneticPr fontId="1" type="noConversion"/>
  </si>
  <si>
    <t>비타밍 승
VS 연블비 Z
녹아웃</t>
    <phoneticPr fontId="1" type="noConversion"/>
  </si>
  <si>
    <t>진땅콩 승
VS 오세은 T
폴리포이드</t>
    <phoneticPr fontId="1" type="noConversion"/>
  </si>
  <si>
    <t>비타밍 승
VS 연블비 Z
폴리포이드</t>
    <phoneticPr fontId="1" type="noConversion"/>
  </si>
  <si>
    <t>먼진 패
VS 은서 P
녹아웃</t>
    <phoneticPr fontId="1" type="noConversion"/>
  </si>
  <si>
    <t>아리송이 승
VS 다뉴 Z
라데온</t>
    <phoneticPr fontId="1" type="noConversion"/>
  </si>
  <si>
    <t>지두두 승
VS 빵리나 P
라데온</t>
    <phoneticPr fontId="1" type="noConversion"/>
  </si>
  <si>
    <t>임조이 승
VS 수니양 T
폴리포이드</t>
    <phoneticPr fontId="1" type="noConversion"/>
  </si>
  <si>
    <t>진땅콩 패
VS 은조 Z
녹아웃</t>
    <phoneticPr fontId="1" type="noConversion"/>
  </si>
  <si>
    <t>지두두 패
VS 빵리나 P
라데온</t>
    <phoneticPr fontId="1" type="noConversion"/>
  </si>
  <si>
    <t>아리송이 승
VS 김말랑 T
녹아웃</t>
    <phoneticPr fontId="1" type="noConversion"/>
  </si>
  <si>
    <t>먼진 승
VS 은서 P
폴리포이드</t>
    <phoneticPr fontId="1" type="noConversion"/>
  </si>
  <si>
    <t>진땅콩 패
VS 헤요이 P
폴리포이드</t>
    <phoneticPr fontId="1" type="noConversion"/>
  </si>
  <si>
    <t>비타밍 패
VS 2라니 Z
녹아웃</t>
    <phoneticPr fontId="1" type="noConversion"/>
  </si>
  <si>
    <t>치리 패
VS 깨림이 T
폴리포이드</t>
    <phoneticPr fontId="1" type="noConversion"/>
  </si>
  <si>
    <t>먼진 승
VS 아링 P
녹아웃</t>
    <phoneticPr fontId="1" type="noConversion"/>
  </si>
  <si>
    <t>소주양 승
VS 주서리 P
라데온</t>
    <phoneticPr fontId="1" type="noConversion"/>
  </si>
  <si>
    <t>치리 승
VS 깨림이 T
폴리포이드</t>
    <phoneticPr fontId="1" type="noConversion"/>
  </si>
  <si>
    <t>토마토 패
VS 뚜미 T
라데온</t>
    <phoneticPr fontId="1" type="noConversion"/>
  </si>
  <si>
    <t>먼진 패
VS 경콩 T
폴리포이드</t>
    <phoneticPr fontId="1" type="noConversion"/>
  </si>
  <si>
    <t>치리 패
VS 유이 T
폴리포이드</t>
    <phoneticPr fontId="1" type="noConversion"/>
  </si>
  <si>
    <t>아리송이 승
VS 갱이다 T
녹아웃</t>
    <phoneticPr fontId="1" type="noConversion"/>
  </si>
  <si>
    <t>진땅콩 승
VS 김유나 T
라데온</t>
    <phoneticPr fontId="1" type="noConversion"/>
  </si>
  <si>
    <t>치리 패
VS 유이 T
라데온</t>
    <phoneticPr fontId="1" type="noConversion"/>
  </si>
  <si>
    <t>먼진 패
VS 경콩 T
녹아웃</t>
    <phoneticPr fontId="1" type="noConversion"/>
  </si>
  <si>
    <t>토마토 패
VS 뚜미 T
폴리포이드</t>
    <phoneticPr fontId="1" type="noConversion"/>
  </si>
  <si>
    <t>비타밍 패
VS 김무아 P
폴리포이드</t>
    <phoneticPr fontId="1" type="noConversion"/>
  </si>
  <si>
    <t>먼진 승
VS 모비 P
라데온</t>
    <phoneticPr fontId="1" type="noConversion"/>
  </si>
  <si>
    <t>아리송이 승
VS 쟈닌 Z
녹아웃</t>
    <phoneticPr fontId="1" type="noConversion"/>
  </si>
  <si>
    <t>토마토 승
VS 소심 T
라데온</t>
    <phoneticPr fontId="1" type="noConversion"/>
  </si>
  <si>
    <t>찌킹 승
VS 나린 Z
녹아웃</t>
    <phoneticPr fontId="1" type="noConversion"/>
  </si>
  <si>
    <t>임조이 승
VS 려원 T
녹아웃</t>
    <phoneticPr fontId="1" type="noConversion"/>
  </si>
  <si>
    <t>지동원 패
VS 진영화 P
라데온</t>
    <phoneticPr fontId="1" type="noConversion"/>
  </si>
  <si>
    <t>먼진 승
VS 제티 P
라데온</t>
    <phoneticPr fontId="1" type="noConversion"/>
  </si>
  <si>
    <t>비타밍 승
VS 오리꿍 Z
녹아웃</t>
    <phoneticPr fontId="1" type="noConversion"/>
  </si>
  <si>
    <t>지두두 승
VS 디임 P
폴리포이드</t>
    <phoneticPr fontId="1" type="noConversion"/>
  </si>
  <si>
    <t>햇살 패
VS 정소이 Z
녹아웃</t>
    <phoneticPr fontId="1" type="noConversion"/>
  </si>
  <si>
    <t>지두두 패
VS 디임 P
라데온</t>
    <phoneticPr fontId="1" type="noConversion"/>
  </si>
  <si>
    <t>햇살 승
VS 정소이 Z
폴리포이드</t>
    <phoneticPr fontId="1" type="noConversion"/>
  </si>
  <si>
    <t>비타밍 패
VS 오리꿍 Z
녹아웃</t>
    <phoneticPr fontId="1" type="noConversion"/>
  </si>
  <si>
    <t>임조이 패
VS 이아꺵 T
녹아웃</t>
    <phoneticPr fontId="1" type="noConversion"/>
  </si>
  <si>
    <t>먼진 승
VS 김세주 T
라데온</t>
    <phoneticPr fontId="1" type="noConversion"/>
  </si>
  <si>
    <t>찌킹 패
VS 키링 P
녹아웃</t>
    <phoneticPr fontId="1" type="noConversion"/>
  </si>
  <si>
    <t>남덕선 승
VS 히엉 T
폴리포이드</t>
    <phoneticPr fontId="1" type="noConversion"/>
  </si>
  <si>
    <t>낭니 패
VS 하윤 P
폴리포이드</t>
    <phoneticPr fontId="1" type="noConversion"/>
  </si>
  <si>
    <t>임조이 승
VS 이아깽 T
폴리포이드</t>
    <phoneticPr fontId="1" type="noConversion"/>
  </si>
  <si>
    <t>낭니 승
VS 하윤 P
폴리포이드</t>
    <phoneticPr fontId="1" type="noConversion"/>
  </si>
  <si>
    <t>찌킹 패
VS 키링 P
폴리포이드</t>
    <phoneticPr fontId="1" type="noConversion"/>
  </si>
  <si>
    <t>13/7</t>
  </si>
  <si>
    <t>13/7</t>
    <phoneticPr fontId="1" type="noConversion"/>
  </si>
  <si>
    <t>방식</t>
    <phoneticPr fontId="1" type="noConversion"/>
  </si>
  <si>
    <t>5/3 5/3 슈에</t>
    <phoneticPr fontId="1" type="noConversion"/>
  </si>
  <si>
    <t>주하랑 패
VS 치리 승
녹아웃</t>
    <phoneticPr fontId="1" type="noConversion"/>
  </si>
  <si>
    <t>아리송이 승
VS 먼진 패
폴리포이드</t>
    <phoneticPr fontId="1" type="noConversion"/>
  </si>
  <si>
    <t>주하랑 승
VS 소주양 패
라데온</t>
    <phoneticPr fontId="1" type="noConversion"/>
  </si>
  <si>
    <t>비타밍 승
VS 임조이 패
녹아웃</t>
    <phoneticPr fontId="1" type="noConversion"/>
  </si>
  <si>
    <t>햇살 패
VS 찌킹 승
라데온</t>
    <phoneticPr fontId="1" type="noConversion"/>
  </si>
  <si>
    <t>박수범 패
VS 배성흠 승
컬러리스</t>
    <phoneticPr fontId="1" type="noConversion"/>
  </si>
  <si>
    <t>변현제 승
VS 김민철 패
녹아웃</t>
    <phoneticPr fontId="1" type="noConversion"/>
  </si>
  <si>
    <t>남덕선 패
VS 클템 T 승
폴리포이드</t>
    <phoneticPr fontId="1" type="noConversion"/>
  </si>
  <si>
    <t>임조이 패
VS 모리 T
폴리포이드</t>
    <phoneticPr fontId="1" type="noConversion"/>
  </si>
  <si>
    <t>지두두 승
VS 요닝 Z
녹아웃</t>
    <phoneticPr fontId="1" type="noConversion"/>
  </si>
  <si>
    <t>햇살 패
VS 앵지 Z
녹아웃</t>
    <phoneticPr fontId="1" type="noConversion"/>
  </si>
  <si>
    <t>토마토 패
VS 디임 P
라데온</t>
    <phoneticPr fontId="1" type="noConversion"/>
  </si>
  <si>
    <t>남덕선 패
VS 나무늘봉순 Z
라데온</t>
    <phoneticPr fontId="1" type="noConversion"/>
  </si>
  <si>
    <t>햇살 패
VS 연애인 P
녹아웃</t>
    <phoneticPr fontId="1" type="noConversion"/>
  </si>
  <si>
    <t>주하랑 패
VS 예실 P
폴리포이드</t>
    <phoneticPr fontId="1" type="noConversion"/>
  </si>
  <si>
    <t>먼진 승
VS 요시 P
녹아웃</t>
    <phoneticPr fontId="1" type="noConversion"/>
  </si>
  <si>
    <t>남덕선 승
VS 또봉순 Z
라데온</t>
    <phoneticPr fontId="1" type="noConversion"/>
  </si>
  <si>
    <t>아리송이 승
VS 지우리 T
라데온</t>
    <phoneticPr fontId="1" type="noConversion"/>
  </si>
  <si>
    <t>먼진 승
VS 요시 P
폴리포이드</t>
    <phoneticPr fontId="1" type="noConversion"/>
  </si>
  <si>
    <t>먼진 승
VS 제갈츄빈 T
녹아웃</t>
    <phoneticPr fontId="1" type="noConversion"/>
  </si>
  <si>
    <t>남덕선 패
VS 우힝 T
라데온</t>
    <phoneticPr fontId="1" type="noConversion"/>
  </si>
  <si>
    <t>임조이 승
VS 메옹 T
녹아웃</t>
    <phoneticPr fontId="1" type="noConversion"/>
  </si>
  <si>
    <t>토마토 승
VS 나예리 T
녹아웃</t>
    <phoneticPr fontId="1" type="noConversion"/>
  </si>
  <si>
    <t>남덕선 패
VS 히엉 T
폴리포이드</t>
    <phoneticPr fontId="1" type="noConversion"/>
  </si>
  <si>
    <t>토마토 패
VS 나예리 T
폴리포이드</t>
    <phoneticPr fontId="1" type="noConversion"/>
  </si>
  <si>
    <t>임조이 승
VS 김채이 P
녹아웃</t>
    <phoneticPr fontId="1" type="noConversion"/>
  </si>
  <si>
    <t>먼진 승
VS 정다닝 T
폴리포이드</t>
    <phoneticPr fontId="1" type="noConversion"/>
  </si>
  <si>
    <t>치리 승
VS 오하얀 P
녹아웃</t>
    <phoneticPr fontId="1" type="noConversion"/>
  </si>
  <si>
    <t>토마토 패
VS 라미 Z
녹아웃</t>
    <phoneticPr fontId="1" type="noConversion"/>
  </si>
  <si>
    <t>남덕선 패
VS 하블리 Z
라데온</t>
    <phoneticPr fontId="1" type="noConversion"/>
  </si>
  <si>
    <t>햇살 패
VS 나린 Z
라데온</t>
    <phoneticPr fontId="1" type="noConversion"/>
  </si>
  <si>
    <t>먼진 승
VS 쟈닌 Z
라데온</t>
    <phoneticPr fontId="1" type="noConversion"/>
  </si>
  <si>
    <t>임조이 승
VS 려원 T
폴리포이드</t>
    <phoneticPr fontId="1" type="noConversion"/>
  </si>
  <si>
    <t>먼진 승
VS 쟈닌 Z
폴리포이드</t>
    <phoneticPr fontId="1" type="noConversion"/>
  </si>
  <si>
    <t>치리 승
VS 비재희 Z
폴리포이드</t>
    <phoneticPr fontId="1" type="noConversion"/>
  </si>
  <si>
    <t>주하랑 패
VS 삐약삐약 Z
녹아웃</t>
    <phoneticPr fontId="1" type="noConversion"/>
  </si>
  <si>
    <t>비타밍 승
VS 태린 P
폴리포이드</t>
    <phoneticPr fontId="1" type="noConversion"/>
  </si>
  <si>
    <t>아리송이 승
VS 얌쭈 Z
녹아웃</t>
    <phoneticPr fontId="1" type="noConversion"/>
  </si>
  <si>
    <t>치리 승
VS 삐약삐약 Z
녹아웃</t>
    <phoneticPr fontId="1" type="noConversion"/>
  </si>
  <si>
    <t>주하랑 패
VS 백갑숙 P
오디세이</t>
    <phoneticPr fontId="1" type="noConversion"/>
  </si>
  <si>
    <t>아리송이 패
VS 막내현진 P
오디세이</t>
    <phoneticPr fontId="1" type="noConversion"/>
  </si>
  <si>
    <t>변현제 패
VS 도재욱 P
오디세이</t>
    <phoneticPr fontId="1" type="noConversion"/>
  </si>
  <si>
    <t>토마토 승
VS 박듀듀 P
오디세이</t>
    <phoneticPr fontId="1" type="noConversion"/>
  </si>
  <si>
    <t>소주양 승
VS 백갑숙 P
오디세이</t>
    <phoneticPr fontId="1" type="noConversion"/>
  </si>
  <si>
    <t>비타밍 패
VS 김설 Z
오디세이</t>
    <phoneticPr fontId="1" type="noConversion"/>
  </si>
  <si>
    <t>햇살 패
VS 최도랑 P
오디세이</t>
    <phoneticPr fontId="1" type="noConversion"/>
  </si>
  <si>
    <t>지두두 패
VS 박듀듀 P
오디세이</t>
    <phoneticPr fontId="1" type="noConversion"/>
  </si>
  <si>
    <t>지두두 승
VS 박듀듀 P
애티튜드</t>
    <phoneticPr fontId="1" type="noConversion"/>
  </si>
  <si>
    <t>햇살 승
VS 최도랑 P
애티튜드</t>
    <phoneticPr fontId="1" type="noConversion"/>
  </si>
  <si>
    <t>비타밍 패
VS 김설 Z
애티튜드</t>
    <phoneticPr fontId="1" type="noConversion"/>
  </si>
  <si>
    <t>소주양 승
VS 백갑숙 P
애티튜드</t>
    <phoneticPr fontId="1" type="noConversion"/>
  </si>
  <si>
    <t>지두두 패
VS 박듀듀 P
애티튜드</t>
    <phoneticPr fontId="1" type="noConversion"/>
  </si>
  <si>
    <t>사테 패
VS 김민철 승
오디세이</t>
    <phoneticPr fontId="1" type="noConversion"/>
  </si>
  <si>
    <t>비타밍 패
VS 임조이 승
오디세이</t>
    <phoneticPr fontId="1" type="noConversion"/>
  </si>
  <si>
    <t>소주양 승
VS 치리 패
오디세이</t>
    <phoneticPr fontId="1" type="noConversion"/>
  </si>
  <si>
    <t>지두두 패
VS 토마토 승
오디세이</t>
    <phoneticPr fontId="1" type="noConversion"/>
  </si>
  <si>
    <t>소주양 패
VS 치리 승
애티튜드</t>
    <phoneticPr fontId="1" type="noConversion"/>
  </si>
  <si>
    <t>토마토 승
VS 파찌 Z
녹아웃</t>
    <phoneticPr fontId="1" type="noConversion"/>
  </si>
  <si>
    <t>지두두 패
VS 기나 P
녹아웃</t>
    <phoneticPr fontId="1" type="noConversion"/>
  </si>
  <si>
    <t>햇살 패
VS 몽순 Z
오디세이</t>
    <phoneticPr fontId="1" type="noConversion"/>
  </si>
  <si>
    <t>먼진 승
VS 면추가 Z
애티튜드</t>
    <phoneticPr fontId="1" type="noConversion"/>
  </si>
  <si>
    <t>비타밍 승
VS 핑핑 Z
라데온</t>
    <phoneticPr fontId="1" type="noConversion"/>
  </si>
  <si>
    <t>주하랑 패
VS 깨림이 T
오디세이</t>
    <phoneticPr fontId="1" type="noConversion"/>
  </si>
  <si>
    <t>토마토 패
VS 파찌 Z
오디세이</t>
    <phoneticPr fontId="1" type="noConversion"/>
  </si>
  <si>
    <t>임조이 패
VS 밍가 P
라데온</t>
    <phoneticPr fontId="1" type="noConversion"/>
  </si>
  <si>
    <t>지두두 패
VS 공다츠 Z
오디세이</t>
    <phoneticPr fontId="1" type="noConversion"/>
  </si>
  <si>
    <t>소주양 승
VS 주서리 P
녹아웃</t>
    <phoneticPr fontId="1" type="noConversion"/>
  </si>
  <si>
    <t>아리송이 승
VS 밥새 T
녹아웃</t>
    <phoneticPr fontId="1" type="noConversion"/>
  </si>
  <si>
    <t>아리송이 승
VS 밥새 T
애티튜드</t>
    <phoneticPr fontId="1" type="noConversion"/>
  </si>
  <si>
    <t>소주양 패
VS 백갑숙 P
녹아웃</t>
    <phoneticPr fontId="1" type="noConversion"/>
  </si>
  <si>
    <t>찌킹 승
VS 최도랑 P
녹아웃</t>
    <phoneticPr fontId="1" type="noConversion"/>
  </si>
  <si>
    <t>먼진 패
VS 막내현진 P
라데온</t>
    <phoneticPr fontId="1" type="noConversion"/>
  </si>
  <si>
    <t>햇살 패
VS 키링 P
오디세이</t>
    <phoneticPr fontId="1" type="noConversion"/>
  </si>
  <si>
    <t>먼진 패
VS 막내현진 P
오디세이</t>
    <phoneticPr fontId="1" type="noConversion"/>
  </si>
  <si>
    <t>아리송이 승
VS 다라츄 Z
라데온</t>
    <phoneticPr fontId="1" type="noConversion"/>
  </si>
  <si>
    <t>지두두 승
VS 뚜미 T
녹아웃</t>
    <phoneticPr fontId="1" type="noConversion"/>
  </si>
  <si>
    <t>먼진 패
VS 제티 P
오디세이</t>
    <phoneticPr fontId="1" type="noConversion"/>
  </si>
  <si>
    <t>남덕선 승
VS 김쵸아 T
오디세이</t>
    <phoneticPr fontId="1" type="noConversion"/>
  </si>
  <si>
    <t>소주양 승
VS 슈슈 Z
애티튜드</t>
    <phoneticPr fontId="1" type="noConversion"/>
  </si>
  <si>
    <t>남덕선 승
VS 카히리 Z
라데온</t>
    <phoneticPr fontId="1" type="noConversion"/>
  </si>
  <si>
    <t>비타밍 승
VS 김채이 P
애티튜드</t>
    <phoneticPr fontId="1" type="noConversion"/>
  </si>
  <si>
    <t>주하랑 패
VS 최세상 T
녹아웃</t>
    <phoneticPr fontId="1" type="noConversion"/>
  </si>
  <si>
    <t>소주양 패
VS 시녕뭉 Z
오디세이</t>
    <phoneticPr fontId="1" type="noConversion"/>
  </si>
  <si>
    <t>비타밍 승
VS 김채이 P
라데온</t>
    <phoneticPr fontId="1" type="noConversion"/>
  </si>
  <si>
    <t>남덕선 승
VS 카히리 Z
녹아웃</t>
    <phoneticPr fontId="1" type="noConversion"/>
  </si>
  <si>
    <t>남덕선 패
VS 히엉 T
애티튜드</t>
    <phoneticPr fontId="1" type="noConversion"/>
  </si>
  <si>
    <t>먼진 승
VS 제갈츄빈 T
라데온</t>
    <phoneticPr fontId="1" type="noConversion"/>
  </si>
  <si>
    <t>비타밍 패
VS 메옹 T
오디세이</t>
    <phoneticPr fontId="1" type="noConversion"/>
  </si>
  <si>
    <t>주하랑 승
VS 유이 T
라데온</t>
    <phoneticPr fontId="1" type="noConversion"/>
  </si>
  <si>
    <t>주하랑 패
VS 유이 T
오디세이</t>
    <phoneticPr fontId="1" type="noConversion"/>
  </si>
  <si>
    <t>주하랑 패
VS 유이 T
라데온</t>
    <phoneticPr fontId="1" type="noConversion"/>
  </si>
  <si>
    <t>찌킹 승
VS 슬아 Z
라데온</t>
    <phoneticPr fontId="1" type="noConversion"/>
  </si>
  <si>
    <t>치리 승
VS 설둥이 P
녹아웃</t>
    <phoneticPr fontId="1" type="noConversion"/>
  </si>
  <si>
    <t>토마토 승
VS 사랑e P
라데온</t>
    <phoneticPr fontId="1" type="noConversion"/>
  </si>
  <si>
    <t>햇살 승
VS 슬아 Z
애티튜드</t>
    <phoneticPr fontId="1" type="noConversion"/>
  </si>
  <si>
    <t>비타밍 승
VS 려원 T
녹아웃</t>
    <phoneticPr fontId="1" type="noConversion"/>
  </si>
  <si>
    <t>임조이 패
VS 려원 T
오디세이</t>
    <phoneticPr fontId="1" type="noConversion"/>
  </si>
  <si>
    <t>먼진 승
VS 쟈닌 Z
애티튜드</t>
    <phoneticPr fontId="1" type="noConversion"/>
  </si>
  <si>
    <t>먼진 승
VS 백원이야 Z
애티튜드</t>
    <phoneticPr fontId="1" type="noConversion"/>
  </si>
  <si>
    <t>소주양 승
VS 내가먼지 T
라데온</t>
    <phoneticPr fontId="1" type="noConversion"/>
  </si>
  <si>
    <t>주하랑 승
VS 내가먼지 T
라데온</t>
    <phoneticPr fontId="1" type="noConversion"/>
  </si>
  <si>
    <t>햇살 승
VS 링고 P
오디세이</t>
    <phoneticPr fontId="1" type="noConversion"/>
  </si>
  <si>
    <t>임조이 패
VS 정서린 P
오디세이</t>
    <phoneticPr fontId="1" type="noConversion"/>
  </si>
  <si>
    <t>먼진 패
VS 냥수디 Z
녹아웃</t>
    <phoneticPr fontId="1" type="noConversion"/>
  </si>
  <si>
    <t>남덕선 패
VS 슬돌이 P
애티튜드</t>
    <phoneticPr fontId="1" type="noConversion"/>
  </si>
  <si>
    <t>주하랑 승
VS 내가먼지 T
애티튜드</t>
    <phoneticPr fontId="1" type="noConversion"/>
  </si>
  <si>
    <t>먼진 승
VS 냥수디 Z
녹아웃</t>
    <phoneticPr fontId="1" type="noConversion"/>
  </si>
  <si>
    <t>햇살 승
VS 정소이 Z
녹아웃</t>
    <phoneticPr fontId="1" type="noConversion"/>
  </si>
  <si>
    <t>지두두 승
VS 빵리나 P
오디세이</t>
    <phoneticPr fontId="1" type="noConversion"/>
  </si>
  <si>
    <t>남덕선 승
VS 다나짱 P
오디세이</t>
    <phoneticPr fontId="1" type="noConversion"/>
  </si>
  <si>
    <t>먼진 패
VS 은서 P
애티튜드</t>
    <phoneticPr fontId="1" type="noConversion"/>
  </si>
  <si>
    <t>햇살 승
VS 최도랑 P
라데온</t>
    <phoneticPr fontId="1" type="noConversion"/>
  </si>
  <si>
    <t>햇살 패
VS 키링 P
라데온</t>
    <phoneticPr fontId="1" type="noConversion"/>
  </si>
  <si>
    <t>주하랑 승
VS 백갑숙 P
오디세이</t>
    <phoneticPr fontId="1" type="noConversion"/>
  </si>
  <si>
    <t>소주양 승
VS 백갑숙 P
녹아웃</t>
    <phoneticPr fontId="1" type="noConversion"/>
  </si>
  <si>
    <t>소주양 승
VS 유이 T
라데온</t>
    <phoneticPr fontId="1" type="noConversion"/>
  </si>
  <si>
    <t>먼진 패
VS 제갈츄빈 T
애티튜드</t>
    <phoneticPr fontId="1" type="noConversion"/>
  </si>
  <si>
    <t>햇살 승
VS 찌킹 패
녹아웃</t>
    <phoneticPr fontId="1" type="noConversion"/>
  </si>
  <si>
    <t>김민철 승
VS 김윤환 패
오디세이</t>
    <phoneticPr fontId="1" type="noConversion"/>
  </si>
  <si>
    <t>주하랑 패
VS 치리 승
라데온</t>
    <phoneticPr fontId="1" type="noConversion"/>
  </si>
  <si>
    <t>사테 승
VS 박준오 패
컬러리스</t>
    <phoneticPr fontId="1" type="noConversion"/>
  </si>
  <si>
    <t>아리송이 승
VS 먼진 패
애티튜드</t>
    <phoneticPr fontId="1" type="noConversion"/>
  </si>
  <si>
    <t>지두두 패
VS 남덕선 승
라데온</t>
    <phoneticPr fontId="1" type="noConversion"/>
  </si>
  <si>
    <t>지두두 승
VS 남덕선 패
녹아웃</t>
    <phoneticPr fontId="1" type="noConversion"/>
  </si>
  <si>
    <t>남덕선 승
VS 하블리 Z
애티튜드</t>
    <phoneticPr fontId="1" type="noConversion"/>
  </si>
  <si>
    <t>남덕선 승
VS 하블리 Z
오디세이</t>
    <phoneticPr fontId="1" type="noConversion"/>
  </si>
  <si>
    <t>남덕선 승
VS 하블리 Z
녹아웃</t>
    <phoneticPr fontId="1" type="noConversion"/>
  </si>
  <si>
    <t>임조이 승
VS 려원 T
애티튜드</t>
    <phoneticPr fontId="1" type="noConversion"/>
  </si>
  <si>
    <t>임조이 승
VS 려원 T
라데온</t>
    <phoneticPr fontId="1" type="noConversion"/>
  </si>
  <si>
    <t>비타밍 패
VS 려원 T
애티튜드</t>
    <phoneticPr fontId="1" type="noConversion"/>
  </si>
  <si>
    <t>비타밍 승
VS 려원 T
오디세이</t>
    <phoneticPr fontId="1" type="noConversion"/>
  </si>
  <si>
    <t>소주양 패
VS 오하얀 P
애티튜드</t>
    <phoneticPr fontId="1" type="noConversion"/>
  </si>
  <si>
    <t>주하랑 승
VS 최세상 T
오디세이</t>
    <phoneticPr fontId="1" type="noConversion"/>
  </si>
  <si>
    <t>비타밍 패
VS 연수 T
녹아웃</t>
    <phoneticPr fontId="1" type="noConversion"/>
  </si>
  <si>
    <t>아리송이 승
VS 정다닝 T
라데온</t>
    <phoneticPr fontId="1" type="noConversion"/>
  </si>
  <si>
    <t>남덕선 승
VS 카히리 Z
애티튜드</t>
    <phoneticPr fontId="1" type="noConversion"/>
  </si>
  <si>
    <t>치리 승
VS 시녕뭉 Z
라데온</t>
    <phoneticPr fontId="1" type="noConversion"/>
  </si>
  <si>
    <t>전체</t>
  </si>
  <si>
    <t>무창클럽 2기</t>
    <phoneticPr fontId="1" type="noConversion"/>
  </si>
  <si>
    <t>비타밍 승
VS 연블비 Z
오디세이</t>
    <phoneticPr fontId="1" type="noConversion"/>
  </si>
  <si>
    <t>김민철 패
VS 최호선 T
아이올로스</t>
    <phoneticPr fontId="1" type="noConversion"/>
  </si>
  <si>
    <t>토마토 승
VS 사랑e P
녹아웃</t>
    <phoneticPr fontId="1" type="noConversion"/>
  </si>
  <si>
    <t>치리 승
VS 설둥이 P
라데온</t>
    <phoneticPr fontId="1" type="noConversion"/>
  </si>
  <si>
    <t>햇살 승
VS 슬아 Z
녹아웃</t>
    <phoneticPr fontId="1" type="noConversion"/>
  </si>
  <si>
    <t>먼진 승
VS 세월 P
애티튜드</t>
    <phoneticPr fontId="1" type="noConversion"/>
  </si>
  <si>
    <t>조기석</t>
  </si>
  <si>
    <t>sharpragu</t>
  </si>
  <si>
    <t>구성훈</t>
  </si>
  <si>
    <t>rladuddo99</t>
  </si>
  <si>
    <t>홍구</t>
  </si>
  <si>
    <t>dpfgc3</t>
  </si>
  <si>
    <t>김성대</t>
  </si>
  <si>
    <t>tjdeosks</t>
  </si>
  <si>
    <t>김영진</t>
  </si>
  <si>
    <t>shyshy123</t>
  </si>
  <si>
    <t>김병수</t>
  </si>
  <si>
    <t>dgh9641</t>
  </si>
  <si>
    <t>김민우</t>
  </si>
  <si>
    <t>vhrtmspt</t>
  </si>
  <si>
    <t>superbsw123</t>
  </si>
  <si>
    <t>하블리</t>
  </si>
  <si>
    <t>gddms97</t>
  </si>
  <si>
    <t>소심</t>
  </si>
  <si>
    <t>phh95426</t>
  </si>
  <si>
    <t>마종대, JSA, 라저대, CP, JSA, 야인스대, 보신대, NASA, 정선대, JSA</t>
  </si>
  <si>
    <t>라미</t>
  </si>
  <si>
    <t>dkfka8945</t>
  </si>
  <si>
    <t>나린</t>
  </si>
  <si>
    <t>ftrudals</t>
  </si>
  <si>
    <t>려원</t>
  </si>
  <si>
    <t>fudnjs0235</t>
  </si>
  <si>
    <t>MSG, 섭이대, 이노대, JSA</t>
  </si>
  <si>
    <t>쟈닌</t>
  </si>
  <si>
    <t>wjddmstj79</t>
  </si>
  <si>
    <t>백원이야</t>
  </si>
  <si>
    <t>begoniah</t>
  </si>
  <si>
    <t>이노대, JSA</t>
  </si>
  <si>
    <t>모비</t>
  </si>
  <si>
    <t>owoouoowo</t>
  </si>
  <si>
    <t>엠비대, JSA</t>
  </si>
  <si>
    <t>김바다</t>
  </si>
  <si>
    <t>미진이</t>
  </si>
  <si>
    <t>2026-02-22,
2026-03-30</t>
  </si>
  <si>
    <t>타마양</t>
  </si>
  <si>
    <t>베이비</t>
  </si>
  <si>
    <t>떠아</t>
  </si>
  <si>
    <t>휘연</t>
  </si>
  <si>
    <t>유승곤</t>
  </si>
  <si>
    <t>scan1014</t>
  </si>
  <si>
    <t>흑운장</t>
  </si>
  <si>
    <t>firebathero</t>
  </si>
  <si>
    <t>배호연</t>
  </si>
  <si>
    <t>bhy95</t>
  </si>
  <si>
    <t>민찬기</t>
  </si>
  <si>
    <t>ckmin706</t>
  </si>
  <si>
    <t>달그락영주</t>
  </si>
  <si>
    <t>ndudska620</t>
  </si>
  <si>
    <t>팔레트</t>
  </si>
  <si>
    <t>skarbwhgc</t>
  </si>
  <si>
    <t>빡재</t>
  </si>
  <si>
    <t>jhpark7712</t>
  </si>
  <si>
    <t>히엉</t>
  </si>
  <si>
    <t>ehgmldud1233</t>
  </si>
  <si>
    <t>우힝이</t>
  </si>
  <si>
    <t>kwh1992</t>
  </si>
  <si>
    <t>2021-07-10, 2021-10-10</t>
  </si>
  <si>
    <t>2021-07-13, 2024-08-19</t>
  </si>
  <si>
    <t>ovoa3316</t>
  </si>
  <si>
    <t>배병대, CP, 배병대, 염석대, JSA, 아마대, YB, 늪지대, 이노대, 이노대, 수술대, 흑카데미</t>
  </si>
  <si>
    <t>2021-07-13, 2023-02-01</t>
  </si>
  <si>
    <t>2021-07-10, 2021-07-19, 2023-09-28</t>
  </si>
  <si>
    <t>링가</t>
  </si>
  <si>
    <t>lingolinga</t>
  </si>
  <si>
    <t>유이</t>
  </si>
  <si>
    <t>chchchshai</t>
  </si>
  <si>
    <t>보신대, 장독대, 뉴캣슬, 흑카데미</t>
  </si>
  <si>
    <t>메옹</t>
  </si>
  <si>
    <t>maeong2</t>
  </si>
  <si>
    <t>선정은</t>
  </si>
  <si>
    <t>tjwjddms1565</t>
  </si>
  <si>
    <t>보신대, JSA, 소림사, 정선대, 흑카데미</t>
  </si>
  <si>
    <t>경콩</t>
  </si>
  <si>
    <t>rudzhd123</t>
  </si>
  <si>
    <t>엠비대, 수술대, 흑카데미</t>
  </si>
  <si>
    <t>갱이다</t>
  </si>
  <si>
    <t>gangeda</t>
  </si>
  <si>
    <t>제갈츄빈</t>
  </si>
  <si>
    <t>dollooo</t>
  </si>
  <si>
    <t>오세은</t>
  </si>
  <si>
    <t>뉴캣슬, 흑카데미</t>
  </si>
  <si>
    <t>가영</t>
  </si>
  <si>
    <t>김유나</t>
  </si>
  <si>
    <t>정영재</t>
  </si>
  <si>
    <t>neverdieyj</t>
  </si>
  <si>
    <t>김경모</t>
  </si>
  <si>
    <t>kkmkhh1234</t>
  </si>
  <si>
    <t>장윤철</t>
  </si>
  <si>
    <t>tmsh401</t>
  </si>
  <si>
    <t>홍덕</t>
  </si>
  <si>
    <t>hongduck9737</t>
  </si>
  <si>
    <t>정민기</t>
  </si>
  <si>
    <t>wjdalsrl95</t>
  </si>
  <si>
    <t>고석현</t>
  </si>
  <si>
    <t>understay</t>
  </si>
  <si>
    <t>김학수</t>
  </si>
  <si>
    <t>skygkrtn</t>
  </si>
  <si>
    <t>유민</t>
  </si>
  <si>
    <t>minyoo3972</t>
  </si>
  <si>
    <t>zpdl1313</t>
  </si>
  <si>
    <t>정소윤</t>
  </si>
  <si>
    <t>ever316</t>
  </si>
  <si>
    <t>보혜</t>
  </si>
  <si>
    <t>zcv0320</t>
  </si>
  <si>
    <t>슬돌이</t>
  </si>
  <si>
    <t>seul0316</t>
  </si>
  <si>
    <t>늑대채린</t>
  </si>
  <si>
    <t>clclcl8888</t>
  </si>
  <si>
    <t>링고</t>
  </si>
  <si>
    <t>agah1106</t>
  </si>
  <si>
    <t>보신대, JSA, 씨나인, 엠비대, 케이대</t>
  </si>
  <si>
    <t>내가먼지</t>
  </si>
  <si>
    <t>goni2677</t>
  </si>
  <si>
    <t>박하악</t>
  </si>
  <si>
    <t>qkrgkdms01</t>
  </si>
  <si>
    <t>냥수디</t>
  </si>
  <si>
    <t>wittyku</t>
  </si>
  <si>
    <t>정서린</t>
  </si>
  <si>
    <t>seols2</t>
  </si>
  <si>
    <t>단비송</t>
  </si>
  <si>
    <t>thdeksql</t>
  </si>
  <si>
    <t>또아</t>
  </si>
  <si>
    <t>연또</t>
  </si>
  <si>
    <t>kjy3443</t>
  </si>
  <si>
    <t>츠캄몬스타즈, 이노대, 케이대</t>
  </si>
  <si>
    <t>2025-11-28,
2026-04-05</t>
  </si>
  <si>
    <t>김민철</t>
  </si>
  <si>
    <t>사테</t>
  </si>
  <si>
    <t>brainzerg7</t>
  </si>
  <si>
    <t>h78ert</t>
  </si>
  <si>
    <t>변현제</t>
  </si>
  <si>
    <t>rondobba</t>
  </si>
  <si>
    <t>배성흠</t>
  </si>
  <si>
    <t>goodzerg</t>
  </si>
  <si>
    <t>왜냐맨</t>
  </si>
  <si>
    <t>jmc06170</t>
  </si>
  <si>
    <t>박수범</t>
  </si>
  <si>
    <t>jihoon002</t>
  </si>
  <si>
    <t>남덕선</t>
  </si>
  <si>
    <t>CP, NSU, DP, 케이대, 씨나인, 수술대, 캄몬스타즈</t>
  </si>
  <si>
    <t>바스포드, 학버드, 우끼끼즈, YB, 츠캄몬스타즈, 캄몬스타즈</t>
  </si>
  <si>
    <t>freshtomato</t>
  </si>
  <si>
    <t>학버드, 철기중대, 철와대, 라이트클럽, 츠캄몬스타즈, 캄몬스타즈</t>
  </si>
  <si>
    <t>2021-07-30, 2023-02-01</t>
  </si>
  <si>
    <t>2021-11-13, 2023-03-26</t>
  </si>
  <si>
    <t>thelddl</t>
  </si>
  <si>
    <t>미다스공대, 바스포드, JSA, 츠캄몬스타즈, 캄몬스타즈</t>
  </si>
  <si>
    <t>찌킹</t>
  </si>
  <si>
    <t>거성대, 케이대, 츠캄몬스타즈, 캄몬스타즈</t>
  </si>
  <si>
    <t>soju2022</t>
  </si>
  <si>
    <t>케이대, 씨나인, 츠캄몬스타즈, 캄몬스타즈</t>
  </si>
  <si>
    <t>db001202</t>
  </si>
  <si>
    <t>복덕방, 츠캄몬스타즈, 캄몬스타즈</t>
  </si>
  <si>
    <t>fpahsdltu1</t>
  </si>
  <si>
    <t>DP, YB, 츠캄몬스타즈, 캄몬스타즈</t>
  </si>
  <si>
    <t>이노대, 츠캄몬스타즈, 캄몬스타즈</t>
  </si>
  <si>
    <t>dlaguswl501</t>
  </si>
  <si>
    <t>츠캄몬스타즈, 캄몬스타즈</t>
  </si>
  <si>
    <t>먼진</t>
  </si>
  <si>
    <t>2meonjin</t>
  </si>
  <si>
    <t>JSA, 정선대, YB, 츠캄몬스타즈, 캄몬스타즈</t>
  </si>
  <si>
    <t>낭니</t>
  </si>
  <si>
    <t>이영한</t>
  </si>
  <si>
    <t>lyh8808</t>
  </si>
  <si>
    <t>만두호성</t>
  </si>
  <si>
    <t>rlarnfk24</t>
  </si>
  <si>
    <t>얍삽e</t>
  </si>
  <si>
    <t>wnsgur2da</t>
  </si>
  <si>
    <t>이창우</t>
  </si>
  <si>
    <t>jackpot</t>
  </si>
  <si>
    <t>정경두</t>
  </si>
  <si>
    <t>paralyze92</t>
  </si>
  <si>
    <t>최재성</t>
  </si>
  <si>
    <t>byromantic</t>
  </si>
  <si>
    <t>빡죠스</t>
  </si>
  <si>
    <t>askl021</t>
  </si>
  <si>
    <t>토스봇</t>
  </si>
  <si>
    <t>kalmian</t>
  </si>
  <si>
    <t>병하</t>
  </si>
  <si>
    <t>dlqudgk1227</t>
  </si>
  <si>
    <t>마예준</t>
  </si>
  <si>
    <t>tiger3006</t>
  </si>
  <si>
    <t>카히리</t>
  </si>
  <si>
    <t>ghkdud1617</t>
  </si>
  <si>
    <t>구보라</t>
  </si>
  <si>
    <t>bora99</t>
  </si>
  <si>
    <t>우끼끼즈, 염석대, 파이스트, JSA, 아마대, 철기구치소, YB, 보신대, 씨나인, 이노대, JSA, 노적단, 엠비대</t>
  </si>
  <si>
    <t>최세상</t>
  </si>
  <si>
    <t>rabbitmiffy</t>
  </si>
  <si>
    <t>시녕뭉</t>
  </si>
  <si>
    <t>synyoung</t>
  </si>
  <si>
    <t>묵섭대, 이노대, 늪지대, 엠비대</t>
  </si>
  <si>
    <t>오하얀</t>
  </si>
  <si>
    <t>gkdud3294</t>
  </si>
  <si>
    <t>늪지대, 흑카데미, 정선대, 엠비대</t>
  </si>
  <si>
    <t>연수</t>
  </si>
  <si>
    <t>qocnrhdwn1</t>
  </si>
  <si>
    <t>무친대, DP, 씨나인, JSA, 이노대, 엠비대</t>
  </si>
  <si>
    <t>김채이</t>
  </si>
  <si>
    <t>have1y</t>
  </si>
  <si>
    <t>보신대, 장독대, 이노대, 수술대, 정선대, 엠비대</t>
  </si>
  <si>
    <t>정다닝</t>
  </si>
  <si>
    <t>dyaan0v0</t>
  </si>
  <si>
    <t>권아온</t>
  </si>
  <si>
    <t>햄희</t>
  </si>
  <si>
    <t>요구리</t>
  </si>
  <si>
    <t>김수식</t>
  </si>
  <si>
    <t>kss33325</t>
  </si>
  <si>
    <t>쿨지지</t>
  </si>
  <si>
    <t>khy12088wsss</t>
  </si>
  <si>
    <t>isangwk</t>
  </si>
  <si>
    <t>허유</t>
  </si>
  <si>
    <t>daegalheo</t>
  </si>
  <si>
    <t>박성준</t>
  </si>
  <si>
    <t>julyzerg</t>
  </si>
  <si>
    <t>tkdduddb06</t>
  </si>
  <si>
    <t>애공</t>
  </si>
  <si>
    <t>byebye22</t>
  </si>
  <si>
    <t>염석대, 라저대, 묵섭대, 섭이대, 이노대, 늪지대, 수술대, 와플대</t>
  </si>
  <si>
    <t>최하니</t>
  </si>
  <si>
    <t>soonhani</t>
  </si>
  <si>
    <t>철기중대, 철와대, 늪지대, 야인스대, 보신대, 중만대, 와플대</t>
  </si>
  <si>
    <t>금선</t>
  </si>
  <si>
    <t>kwbm123081</t>
  </si>
  <si>
    <t>MSG, NASA, 흑카데미, 노가다대, 보신대, 중만대, 소림사, 늪지대, HM, 와플대</t>
  </si>
  <si>
    <t>비재희</t>
  </si>
  <si>
    <t>hee4343</t>
  </si>
  <si>
    <t>삐약삐약</t>
  </si>
  <si>
    <t>BGM, 와플대</t>
  </si>
  <si>
    <t>태린</t>
  </si>
  <si>
    <t>jjjjeong</t>
  </si>
  <si>
    <t>늪지대, NASA, 섭이대, 소림사, 거성대, 거성대, 거사대, 두림하이, BGM, 와플대</t>
  </si>
  <si>
    <t>하이현</t>
  </si>
  <si>
    <t>gkgus99</t>
  </si>
  <si>
    <t>흑카데미, 거성대, ASG, 무창클럽, 와플대</t>
  </si>
  <si>
    <t>얌쭈</t>
  </si>
  <si>
    <t>shj06170</t>
  </si>
  <si>
    <t>NASA, 보신대, 중만대, 중만대, 정선대, 와플대</t>
  </si>
  <si>
    <t>루다</t>
  </si>
  <si>
    <t>as1823</t>
  </si>
  <si>
    <t>구키</t>
  </si>
  <si>
    <t>kimp1ay</t>
  </si>
  <si>
    <t>여지니</t>
  </si>
  <si>
    <t>palko1</t>
  </si>
  <si>
    <t>짭제</t>
  </si>
  <si>
    <t>thakzkf</t>
  </si>
  <si>
    <t>선우도현</t>
  </si>
  <si>
    <t>dohyeon97</t>
  </si>
  <si>
    <t>김기덕</t>
  </si>
  <si>
    <t>qndnd12</t>
  </si>
  <si>
    <t>전제민</t>
  </si>
  <si>
    <t>wjswpalssla1</t>
  </si>
  <si>
    <t>윤준석</t>
  </si>
  <si>
    <t>comcmxx</t>
  </si>
  <si>
    <t>gjgj3274</t>
  </si>
  <si>
    <t>ititit</t>
  </si>
  <si>
    <t>다린</t>
  </si>
  <si>
    <t>bijyu90</t>
  </si>
  <si>
    <t>공다츠</t>
  </si>
  <si>
    <t>dmswls4565</t>
  </si>
  <si>
    <t>파찌</t>
  </si>
  <si>
    <t>pazzy1</t>
  </si>
  <si>
    <t>마종대, JSA, 우끼끼즈, 이노대, 중만대, 보신대, 장독대, 뉴캣슬, 수술대</t>
  </si>
  <si>
    <t>기나</t>
  </si>
  <si>
    <t>rlsk0705</t>
  </si>
  <si>
    <t>NSU, JSA, 무친대, 할없녀, 정선대, 늪지대, 수술대</t>
  </si>
  <si>
    <t>2021-07-10, 2022-10-15</t>
  </si>
  <si>
    <t>몽순</t>
  </si>
  <si>
    <t>totlllsz</t>
  </si>
  <si>
    <t>NASA, 묵섭대, 보신대, 중만대, 엠비대, 이노대, 와플대, 수술대</t>
  </si>
  <si>
    <t>깨림이</t>
  </si>
  <si>
    <t>nerve89</t>
  </si>
  <si>
    <t>2라니</t>
  </si>
  <si>
    <t>wlgua7272</t>
  </si>
  <si>
    <t>핑핑</t>
  </si>
  <si>
    <t>nreupne</t>
  </si>
  <si>
    <t>밍가</t>
  </si>
  <si>
    <t>tato1104</t>
  </si>
  <si>
    <t>밥새</t>
  </si>
  <si>
    <t>jiinii000</t>
  </si>
  <si>
    <t>JSA, 수술대</t>
  </si>
  <si>
    <t>면추가</t>
  </si>
  <si>
    <t>min030606</t>
  </si>
  <si>
    <t>엠비대, 수술대</t>
  </si>
  <si>
    <t>헤요이</t>
  </si>
  <si>
    <t>heyyo0123</t>
  </si>
  <si>
    <t>아링</t>
  </si>
  <si>
    <t>jungym0116</t>
  </si>
  <si>
    <t>늪지대, 늪지대, 수술대</t>
  </si>
  <si>
    <t>봄덕이</t>
  </si>
  <si>
    <t>온도이</t>
  </si>
  <si>
    <t>도재욱</t>
  </si>
  <si>
    <t>wodnrdldia</t>
  </si>
  <si>
    <t>박성균</t>
  </si>
  <si>
    <t>peros777</t>
  </si>
  <si>
    <t>구라미스</t>
  </si>
  <si>
    <t>ksmo54</t>
  </si>
  <si>
    <t>arinbbidol</t>
  </si>
  <si>
    <t>김건욱</t>
  </si>
  <si>
    <t>killkg2</t>
  </si>
  <si>
    <t>액션구드론</t>
  </si>
  <si>
    <t>dmk1212</t>
  </si>
  <si>
    <t>초난강</t>
  </si>
  <si>
    <t>dbrbals</t>
  </si>
  <si>
    <t>저그맨박성준</t>
  </si>
  <si>
    <t>트슈</t>
  </si>
  <si>
    <t>ywww123</t>
  </si>
  <si>
    <t>박듀듀</t>
  </si>
  <si>
    <t>parkle1006</t>
  </si>
  <si>
    <t>CP, 학버드, 무친대, 우끼끼즈, 엠비대, 이노대, 뉴캣슬</t>
  </si>
  <si>
    <t>키링</t>
  </si>
  <si>
    <t>dbwjdcool1</t>
  </si>
  <si>
    <t>최도랑</t>
  </si>
  <si>
    <t>123rhaxld</t>
  </si>
  <si>
    <t>백갑숙</t>
  </si>
  <si>
    <t>zzzz809</t>
  </si>
  <si>
    <t>이아깽</t>
  </si>
  <si>
    <t>2ahgo1203</t>
  </si>
  <si>
    <t>보신대, 우끼끼즈, 케이대, JSA, 흑카데미, 뉴캣슬</t>
  </si>
  <si>
    <t>진유성</t>
  </si>
  <si>
    <t>aybjc2319</t>
  </si>
  <si>
    <t>diniowo</t>
  </si>
  <si>
    <t>밍또얌</t>
  </si>
  <si>
    <t>totoo23</t>
  </si>
  <si>
    <t>퀸주</t>
  </si>
  <si>
    <t>queenzu</t>
  </si>
  <si>
    <t>냥냥코기</t>
  </si>
  <si>
    <t>corgi1102</t>
  </si>
  <si>
    <t>이노대, 뉴캣슬</t>
  </si>
  <si>
    <t>유즈</t>
  </si>
  <si>
    <t>단솔</t>
  </si>
  <si>
    <t>정선대, 뉴캣슬</t>
  </si>
  <si>
    <t>2019-06-20,
2026-02-03,
2026-04-16</t>
  </si>
  <si>
    <t>으니</t>
  </si>
  <si>
    <t>하윤</t>
  </si>
  <si>
    <t>프발</t>
  </si>
  <si>
    <t>lky6407</t>
  </si>
  <si>
    <t>김범수</t>
  </si>
  <si>
    <t>bumsoo552</t>
  </si>
  <si>
    <t>이윤열</t>
  </si>
  <si>
    <t>nada11200</t>
  </si>
  <si>
    <t>난수</t>
  </si>
  <si>
    <t>wkddudrms15</t>
  </si>
  <si>
    <t>뽀현욱</t>
  </si>
  <si>
    <t>안아</t>
  </si>
  <si>
    <t>dudwn4974</t>
  </si>
  <si>
    <t>뚜미</t>
  </si>
  <si>
    <t>eeceec</t>
  </si>
  <si>
    <t>MSG, 아마대, 흑카데미, 중만대, 거성대, 와플대, 흑카데미, BGM</t>
  </si>
  <si>
    <t>꼬니부깅</t>
  </si>
  <si>
    <t>kitty1029</t>
  </si>
  <si>
    <t>JSA, 아마대, 보신대, 야인스대, 와플대, BGM</t>
  </si>
  <si>
    <t>2021-08-08, 2025-11-24</t>
  </si>
  <si>
    <t>뽀누나</t>
  </si>
  <si>
    <t>hy4985</t>
  </si>
  <si>
    <t>철기중대, CP, 보신대, 묵섭대, 패션스타, 거성대, 거사대, 두림하이, 뽀인구단, BGM</t>
  </si>
  <si>
    <t>2021-08-10, 2021-11-13</t>
  </si>
  <si>
    <t>2021-07-19, 2021-10-31</t>
  </si>
  <si>
    <t>슈슈</t>
  </si>
  <si>
    <t>ldk8481</t>
  </si>
  <si>
    <t>GOU, 보신대, DP, 늪지대, BGM</t>
  </si>
  <si>
    <t>라운이</t>
  </si>
  <si>
    <t>dmsthfdldia</t>
  </si>
  <si>
    <t>MSG, 보신대, 늪지대, 거성대, 이노대, BGM</t>
  </si>
  <si>
    <t>엔돌핀</t>
  </si>
  <si>
    <t>dmsgkdn12</t>
  </si>
  <si>
    <t>철와대, 소림사, BGM</t>
  </si>
  <si>
    <t>다라츄</t>
  </si>
  <si>
    <t>ghlidhjgioew</t>
  </si>
  <si>
    <t>엠비대, 늪지대, BGM</t>
  </si>
  <si>
    <t>제티</t>
  </si>
  <si>
    <t>yyssaa33</t>
  </si>
  <si>
    <t>흑카데미, 거성대, 거사대, 두림하이, 와플대, BGM</t>
  </si>
  <si>
    <t>황단비</t>
  </si>
  <si>
    <t>xzqwe1</t>
  </si>
  <si>
    <t>NASA, 거성대, 거사대, 와플대, BGM</t>
  </si>
  <si>
    <t>예담</t>
  </si>
  <si>
    <t>진서랄까</t>
  </si>
  <si>
    <t>임진묵</t>
  </si>
  <si>
    <t>organ333</t>
  </si>
  <si>
    <t>이예훈</t>
  </si>
  <si>
    <t>gnsl418</t>
  </si>
  <si>
    <t>원선재</t>
  </si>
  <si>
    <t>zealot0846</t>
  </si>
  <si>
    <t>전태규</t>
  </si>
  <si>
    <t>70jeontaekyu</t>
  </si>
  <si>
    <t>서지수</t>
  </si>
  <si>
    <t>lovelove7777</t>
  </si>
  <si>
    <t>우끼끼즈, 무친대, YB, 수술대, ASG, DM</t>
  </si>
  <si>
    <t>다나짱</t>
  </si>
  <si>
    <t>cyj982002</t>
  </si>
  <si>
    <t>마종대, 무친대, 츠나대, JSA, 철기구치소, 보신대, 중만대, 보신대, 이노대, DM</t>
  </si>
  <si>
    <t>빵리나</t>
  </si>
  <si>
    <t>jscando77</t>
  </si>
  <si>
    <t>정소이</t>
  </si>
  <si>
    <t>lily0104</t>
  </si>
  <si>
    <t>라저대, NASA, 늪지대, 정선대, 늪지대, DM</t>
  </si>
  <si>
    <t>수니양</t>
  </si>
  <si>
    <t>nasd06</t>
  </si>
  <si>
    <t>김말랑</t>
  </si>
  <si>
    <t>5eulgii</t>
  </si>
  <si>
    <t>묵섭대, 섭이대, 흑카데미, 이노대, DM</t>
  </si>
  <si>
    <t>다뉴</t>
  </si>
  <si>
    <t>danu619</t>
  </si>
  <si>
    <t>은서</t>
  </si>
  <si>
    <t>eunseo0152</t>
  </si>
  <si>
    <t>은조</t>
  </si>
  <si>
    <t>eunjo0105</t>
  </si>
  <si>
    <t>이노대, 씨나인, DM</t>
  </si>
  <si>
    <t>cksgmldbs</t>
  </si>
  <si>
    <t>윤수철</t>
  </si>
  <si>
    <t>snfjdro369</t>
  </si>
  <si>
    <t>권혁진</t>
  </si>
  <si>
    <t>rnjsgurwls15</t>
  </si>
  <si>
    <t>설영욱</t>
  </si>
  <si>
    <t>또봉순</t>
  </si>
  <si>
    <t>simcheong23</t>
  </si>
  <si>
    <t>NSU, 아마대, MSG, 보신대, 소림사, 이노대, 소림사, 와플대, 신세계</t>
  </si>
  <si>
    <t>연애인</t>
  </si>
  <si>
    <t>djathekd</t>
  </si>
  <si>
    <t>거성대, 케이대, 늪지대, 소림사, 거성대, 수술대, 수술대, 신세계</t>
  </si>
  <si>
    <t>예실</t>
  </si>
  <si>
    <t>della2440</t>
  </si>
  <si>
    <t>노가다대, 패션스타, 와플대, 거사대, ASG, 늪지대, BGM, 신세계</t>
  </si>
  <si>
    <t>지우리</t>
  </si>
  <si>
    <t>jiwooris2</t>
  </si>
  <si>
    <t>수술대, 신세계</t>
  </si>
  <si>
    <t>요시</t>
  </si>
  <si>
    <t>khl1589</t>
  </si>
  <si>
    <t>중만대, 보신대, 늪지대, 신세계</t>
  </si>
  <si>
    <t>밤하밍</t>
  </si>
  <si>
    <t>이노대, 뉴캣슬, 신세계</t>
  </si>
  <si>
    <t>혜냥</t>
  </si>
  <si>
    <t>finepearls</t>
  </si>
  <si>
    <t>흑카데미, 신세계</t>
  </si>
  <si>
    <t>2025-09-16
2026-02-11</t>
  </si>
  <si>
    <t>윤진규</t>
  </si>
  <si>
    <t>mwhdgus</t>
  </si>
  <si>
    <t>박재혁</t>
  </si>
  <si>
    <t>rlekfu6</t>
  </si>
  <si>
    <t>빵훈</t>
  </si>
  <si>
    <t>vlfvlf789</t>
  </si>
  <si>
    <t>광기남</t>
  </si>
  <si>
    <t>suji84</t>
  </si>
  <si>
    <t>보신대, 석사관, 야인스대, 씨나인, NASA, 복덕방, JSA, 정선대, 츠캄몬스타즈, 더블비</t>
  </si>
  <si>
    <t>aram1213</t>
  </si>
  <si>
    <t>JSA, MSG, 철기구치소, 보신대, 씨나인, DNA, 패션스타, JSA, YB, ASG, 노적단, 더블비</t>
  </si>
  <si>
    <t>예슬</t>
  </si>
  <si>
    <t>dptmfl1258</t>
  </si>
  <si>
    <t>츠나대, JSA, 방치클럽, 이노대, YB, JSA, 더블비</t>
  </si>
  <si>
    <t>또해영</t>
  </si>
  <si>
    <t>pokimasiso</t>
  </si>
  <si>
    <t>케이대, YB, 더블비</t>
  </si>
  <si>
    <t>zzonii</t>
  </si>
  <si>
    <t>츠캄몬스타즈, JSA, YB, 더블비</t>
  </si>
  <si>
    <t>허로아</t>
  </si>
  <si>
    <t>roa0216</t>
  </si>
  <si>
    <t>중만대, 이노대, 씨나인, 더블비</t>
  </si>
  <si>
    <t>박쭈이</t>
  </si>
  <si>
    <t>fidfidfid</t>
  </si>
  <si>
    <t>츠캄몬스타즈, 더블비</t>
  </si>
  <si>
    <t>빵체리</t>
  </si>
  <si>
    <t>kysvic2</t>
  </si>
  <si>
    <t>jk890202</t>
  </si>
  <si>
    <t>hby0724</t>
  </si>
  <si>
    <t>어윤수</t>
  </si>
  <si>
    <t>djdbstn</t>
  </si>
  <si>
    <t>윤용태</t>
  </si>
  <si>
    <t>dbsdydx</t>
  </si>
  <si>
    <t>강구열</t>
  </si>
  <si>
    <t>요닝</t>
  </si>
  <si>
    <t>tjgpdus97</t>
  </si>
  <si>
    <t>점문대, 바스포드, 철기구치소, JSA, 장독대, 씨나인, 드림즈</t>
  </si>
  <si>
    <t>주서리</t>
  </si>
  <si>
    <t>ys9024</t>
  </si>
  <si>
    <t>NSU, 츠나대, DP, 방치클럽, 장독대, 수술대, 드림즈</t>
  </si>
  <si>
    <t>moguleave</t>
  </si>
  <si>
    <t>복덕방, 츠캄몬스타즈, 씨나인, 드림즈</t>
  </si>
  <si>
    <t>오리꿍</t>
  </si>
  <si>
    <t>imducko3o</t>
  </si>
  <si>
    <t>씨나인, 드림즈</t>
  </si>
  <si>
    <t>queen030</t>
  </si>
  <si>
    <t>츠캄몬스타즈, YB, 씨나인, 드림즈</t>
  </si>
  <si>
    <t>wlswn6565</t>
  </si>
  <si>
    <t>츠캄몬스타즈, 캄몬스타즈, 씨나인, 드림즈</t>
  </si>
  <si>
    <t>요괴버스</t>
  </si>
  <si>
    <t>수술대, 드림즈</t>
  </si>
  <si>
    <t>럭키위키</t>
  </si>
  <si>
    <t>viwi05</t>
  </si>
  <si>
    <t>이나</t>
  </si>
  <si>
    <t>이재호</t>
  </si>
  <si>
    <t>scv6256</t>
  </si>
  <si>
    <t>유영진</t>
  </si>
  <si>
    <t>yoo376</t>
  </si>
  <si>
    <t>샤이니</t>
  </si>
  <si>
    <t>onlysibar</t>
  </si>
  <si>
    <t>byhero</t>
  </si>
  <si>
    <t>김정우</t>
  </si>
  <si>
    <t>momo130</t>
  </si>
  <si>
    <t>이제동</t>
  </si>
  <si>
    <t>jaedong23</t>
  </si>
  <si>
    <t>김명운</t>
  </si>
  <si>
    <t>kimmyungwun</t>
  </si>
  <si>
    <t>최호선</t>
  </si>
  <si>
    <t>ghtjs3833</t>
  </si>
  <si>
    <t>이영호</t>
  </si>
  <si>
    <t>byflash</t>
  </si>
  <si>
    <t>김지성</t>
  </si>
  <si>
    <t>ho1godme</t>
  </si>
  <si>
    <t>이영웅</t>
  </si>
  <si>
    <t>rfvtgb778</t>
  </si>
  <si>
    <t>방태수</t>
  </si>
  <si>
    <t>bts150</t>
  </si>
  <si>
    <t>김택용</t>
  </si>
  <si>
    <t>rlaxordyd</t>
  </si>
  <si>
    <t>koreasbg</t>
  </si>
  <si>
    <t>서문지훈</t>
  </si>
  <si>
    <t>jh3697</t>
  </si>
  <si>
    <t>bwstar</t>
  </si>
  <si>
    <t>rudals5467</t>
  </si>
  <si>
    <t>진영화</t>
  </si>
  <si>
    <t>jyh8610</t>
  </si>
  <si>
    <t>김봉실</t>
  </si>
  <si>
    <t>tjr2770</t>
  </si>
  <si>
    <t>원지훈</t>
  </si>
  <si>
    <t>wonjoon1814</t>
  </si>
  <si>
    <t>이인극</t>
  </si>
  <si>
    <t>toozi0317</t>
  </si>
  <si>
    <t>김대한</t>
  </si>
  <si>
    <t>daehan7224</t>
  </si>
  <si>
    <t>김상곤</t>
  </si>
  <si>
    <t>byspire</t>
  </si>
  <si>
    <t>인치호</t>
  </si>
  <si>
    <t>spark123</t>
  </si>
  <si>
    <t>져지현</t>
  </si>
  <si>
    <t>킁식</t>
  </si>
  <si>
    <t>zealotmaru</t>
  </si>
  <si>
    <t>박준혁</t>
  </si>
  <si>
    <t>jhyhlli123</t>
  </si>
  <si>
    <t>손찬웅</t>
  </si>
  <si>
    <t>cksdnddldhkd</t>
  </si>
  <si>
    <t>미동미동</t>
  </si>
  <si>
    <t>qhkrwns12</t>
  </si>
  <si>
    <t>안기효</t>
  </si>
  <si>
    <t>aghhi</t>
  </si>
  <si>
    <t>쿰신</t>
  </si>
  <si>
    <t>parkjaehyeon</t>
  </si>
  <si>
    <t>박지호</t>
  </si>
  <si>
    <t>jou1025</t>
  </si>
  <si>
    <t>김상수</t>
  </si>
  <si>
    <t>k1s2s3</t>
  </si>
  <si>
    <t>이완</t>
  </si>
  <si>
    <t>john06911</t>
  </si>
  <si>
    <t>박태민</t>
  </si>
  <si>
    <t>cztaemin</t>
  </si>
  <si>
    <t>초롱초롱</t>
  </si>
  <si>
    <t>leegang7</t>
  </si>
  <si>
    <t>강민</t>
  </si>
  <si>
    <t>nalra82</t>
  </si>
  <si>
    <t>파도</t>
  </si>
  <si>
    <t>kthrs9207</t>
  </si>
  <si>
    <t>김성제</t>
  </si>
  <si>
    <t>erosrainbow</t>
  </si>
  <si>
    <t>탱크</t>
  </si>
  <si>
    <t>dkwkal</t>
  </si>
  <si>
    <t>서기수</t>
  </si>
  <si>
    <t>momjin</t>
  </si>
  <si>
    <t>안정우</t>
  </si>
  <si>
    <t>dkswjddn92</t>
  </si>
  <si>
    <t>하얀눈길</t>
  </si>
  <si>
    <t>qksdy147</t>
  </si>
  <si>
    <t>스틱</t>
  </si>
  <si>
    <t>jipsh2</t>
  </si>
  <si>
    <t>파메</t>
  </si>
  <si>
    <t>heksd</t>
  </si>
  <si>
    <t>멍이</t>
  </si>
  <si>
    <t>rlawhdwns6</t>
  </si>
  <si>
    <t>유성민</t>
  </si>
  <si>
    <t>goodgame07</t>
  </si>
  <si>
    <t>카리스</t>
  </si>
  <si>
    <t>igoldtree</t>
  </si>
  <si>
    <t>모토케이</t>
  </si>
  <si>
    <t>chs9011</t>
  </si>
  <si>
    <t>나도현</t>
  </si>
  <si>
    <t>dohyun83</t>
  </si>
  <si>
    <t>앙상국</t>
  </si>
  <si>
    <t>채린쟝</t>
  </si>
  <si>
    <t>kcl903</t>
  </si>
  <si>
    <t>김쵸아</t>
  </si>
  <si>
    <t>s1on0106</t>
  </si>
  <si>
    <t>NSU, 바스포드, 흑카데미, BGM</t>
  </si>
  <si>
    <t>나무늘봉순</t>
  </si>
  <si>
    <t>yjk011599</t>
  </si>
  <si>
    <t>2021-07-13, 2021-07-30</t>
  </si>
  <si>
    <t>2021-07-19, 2021-08-25</t>
  </si>
  <si>
    <t>이유란</t>
  </si>
  <si>
    <t>forweourus</t>
  </si>
  <si>
    <t>사랑e</t>
  </si>
  <si>
    <t>sr629</t>
  </si>
  <si>
    <t>qpqpro</t>
  </si>
  <si>
    <t>마종대, 염석대, 무친대, 라이트클럽, 츠캄몬스타즈, 씨나인</t>
  </si>
  <si>
    <t>조은</t>
  </si>
  <si>
    <t>zalalz</t>
  </si>
  <si>
    <t>구루미</t>
  </si>
  <si>
    <t>9rumee</t>
  </si>
  <si>
    <t>쥬나</t>
  </si>
  <si>
    <t>haru1207</t>
  </si>
  <si>
    <t>gks2wl</t>
  </si>
  <si>
    <t>캄성여대, 바스포드, 캄성여대, 방치클럽, 츠캄몬스타즈, 씨나인</t>
  </si>
  <si>
    <t>2021-07-10, 2021-10-26, 2023-06-26</t>
  </si>
  <si>
    <t>2022-03-23, 2023-09-28</t>
  </si>
  <si>
    <t>슬아</t>
  </si>
  <si>
    <t>ekfrqkf</t>
  </si>
  <si>
    <t>MSG, 석사관, 야인스대, 케이대, 이노대, 늪지대, HM</t>
  </si>
  <si>
    <t>2021-07-19, 2023-10-16</t>
  </si>
  <si>
    <t>yochba0402</t>
  </si>
  <si>
    <t>sdkels</t>
  </si>
  <si>
    <t>우끼끼즈, 철기중대, 철와대, 철기구치소, 씨나인, 복덕방, 츠캄몬스타즈, YB, 씨나인, 뉴캣슬, 무창클럽</t>
  </si>
  <si>
    <t>2021-07-10, 2021-10-26</t>
  </si>
  <si>
    <t>2021-09-25, 2021-10-31, 2022-05-03</t>
  </si>
  <si>
    <t>2022-03-23, 2023-02-17</t>
  </si>
  <si>
    <t>설둥이</t>
  </si>
  <si>
    <t>snowssa</t>
  </si>
  <si>
    <t>MSG, 보신대, 케이대, NASA, 섭이대, 이노대, 정선대, HM</t>
  </si>
  <si>
    <t>남수댕</t>
  </si>
  <si>
    <t>mew030709</t>
  </si>
  <si>
    <t>연블비</t>
  </si>
  <si>
    <t>ynblbee</t>
  </si>
  <si>
    <t>미다스, CP, 석사관, 늪지대, 씨나인, 소림사, 늪지대, HM</t>
  </si>
  <si>
    <t>김설</t>
  </si>
  <si>
    <t>rnfma14</t>
  </si>
  <si>
    <t>장독대, 와플대, 와플대, 이노대, 신세계</t>
  </si>
  <si>
    <t>귀요민정</t>
  </si>
  <si>
    <t>khsoo0105</t>
  </si>
  <si>
    <t>진니</t>
  </si>
  <si>
    <t>youaregood</t>
  </si>
  <si>
    <t>busky3</t>
  </si>
  <si>
    <t>마종대, 철기중대, 철와대, 철기구치소, 할없녀, 장독대, 씨나인, 노적단, 무창클럽</t>
  </si>
  <si>
    <t>김무아</t>
  </si>
  <si>
    <t>mooaoom</t>
  </si>
  <si>
    <t>철기구치소, 할없녀, 정선대, 수술대, 노적단, JSA</t>
  </si>
  <si>
    <t>키모야</t>
  </si>
  <si>
    <t>kittysh1</t>
  </si>
  <si>
    <t>김세주</t>
  </si>
  <si>
    <t>chanmeyo</t>
  </si>
  <si>
    <t>햄찌야</t>
  </si>
  <si>
    <t>toy2053</t>
  </si>
  <si>
    <t>이지다</t>
  </si>
  <si>
    <t>dlwldyal1004</t>
  </si>
  <si>
    <t>수술대, 씨나인</t>
  </si>
  <si>
    <t>세월</t>
  </si>
  <si>
    <t>asdsa1113</t>
  </si>
  <si>
    <t>ASG, HM</t>
  </si>
  <si>
    <t>이응씨</t>
  </si>
  <si>
    <t>정선대, HM</t>
  </si>
  <si>
    <t>이아라</t>
  </si>
  <si>
    <t>전태양</t>
  </si>
  <si>
    <t>sunstar1994</t>
  </si>
  <si>
    <t>유진우</t>
  </si>
  <si>
    <t>rjsrkdgkwk12</t>
  </si>
  <si>
    <t>ioioiobb</t>
  </si>
  <si>
    <t>yuambo</t>
  </si>
  <si>
    <t>윤종현</t>
  </si>
  <si>
    <t>starstim</t>
  </si>
  <si>
    <t>한두열</t>
  </si>
  <si>
    <t>hdy4546</t>
  </si>
  <si>
    <t>노재상</t>
  </si>
  <si>
    <t>kiol95</t>
  </si>
  <si>
    <t>오메킴</t>
  </si>
  <si>
    <t>rlatldgus</t>
  </si>
  <si>
    <t>백동준</t>
  </si>
  <si>
    <t>tmvpdltmqk12</t>
  </si>
  <si>
    <t>최영현</t>
  </si>
  <si>
    <t>bymaru</t>
  </si>
  <si>
    <t>박수현</t>
  </si>
  <si>
    <t>tngus7739</t>
  </si>
  <si>
    <t>배지웅</t>
  </si>
  <si>
    <t>wpwpwp119</t>
  </si>
  <si>
    <t>변형태</t>
  </si>
  <si>
    <t>bht0205</t>
  </si>
  <si>
    <t>정진우</t>
  </si>
  <si>
    <t>wlswxx</t>
  </si>
  <si>
    <t>y1026</t>
  </si>
  <si>
    <t>문기호</t>
  </si>
  <si>
    <t>kil9077</t>
  </si>
  <si>
    <t>장현</t>
  </si>
  <si>
    <t>janghyun0012</t>
  </si>
  <si>
    <t>손석희</t>
  </si>
  <si>
    <t>qnrqndnjs</t>
  </si>
  <si>
    <t>김유진</t>
  </si>
  <si>
    <t>zx2362</t>
  </si>
  <si>
    <t>이승훈</t>
  </si>
  <si>
    <t>starobba</t>
  </si>
  <si>
    <t>박영덕</t>
  </si>
  <si>
    <t>rpalwlq</t>
  </si>
  <si>
    <t>tjdwnls123</t>
  </si>
  <si>
    <t>권혁찬</t>
  </si>
  <si>
    <t>khjkzzzz</t>
  </si>
  <si>
    <t>윤호준</t>
  </si>
  <si>
    <t>luckycontrol</t>
  </si>
  <si>
    <t>tongken2</t>
  </si>
  <si>
    <t>라히</t>
  </si>
  <si>
    <t>khc2566</t>
  </si>
  <si>
    <t>따냥잉</t>
  </si>
  <si>
    <t>gef456</t>
  </si>
  <si>
    <t>트할</t>
  </si>
  <si>
    <t>poos69</t>
  </si>
  <si>
    <t>랜딩</t>
  </si>
  <si>
    <t>guslgood2</t>
  </si>
  <si>
    <t>서도일</t>
  </si>
  <si>
    <t>tjaudtn123</t>
  </si>
  <si>
    <t>린다랑</t>
  </si>
  <si>
    <t>gjaksgmd123</t>
  </si>
  <si>
    <t>제동빠</t>
  </si>
  <si>
    <t>chw2440</t>
  </si>
  <si>
    <t>피글렛</t>
  </si>
  <si>
    <t>rhkdwls0147</t>
  </si>
  <si>
    <t>by0529</t>
  </si>
  <si>
    <t>마이티베어</t>
  </si>
  <si>
    <t>mightybear</t>
  </si>
  <si>
    <t>저라뎃</t>
  </si>
  <si>
    <t>joey1114</t>
  </si>
  <si>
    <t>조경훈</t>
  </si>
  <si>
    <t>cnsgkcnehd74</t>
  </si>
  <si>
    <t>클템</t>
  </si>
  <si>
    <t>killgusdnk</t>
  </si>
  <si>
    <t>미키</t>
  </si>
  <si>
    <t>sdd7707</t>
  </si>
  <si>
    <t>오뀨</t>
  </si>
  <si>
    <t>ogm0905</t>
  </si>
  <si>
    <t>벤츠</t>
  </si>
  <si>
    <t>xogy0400</t>
  </si>
  <si>
    <t>쪼해피롱</t>
  </si>
  <si>
    <t>didi5252</t>
  </si>
  <si>
    <t>빈스</t>
  </si>
  <si>
    <t>jth970</t>
  </si>
  <si>
    <t>경식</t>
  </si>
  <si>
    <t>mhn04149</t>
  </si>
  <si>
    <t>불비</t>
  </si>
  <si>
    <t>cnghkdn12</t>
  </si>
  <si>
    <t>강만식</t>
  </si>
  <si>
    <t>픽서</t>
  </si>
  <si>
    <t>wodn0412</t>
  </si>
  <si>
    <t>블랙워크</t>
  </si>
  <si>
    <t>gudcjf604</t>
  </si>
  <si>
    <t>엘사</t>
  </si>
  <si>
    <t>에스카</t>
  </si>
  <si>
    <t>qkfhzhals</t>
  </si>
  <si>
    <t>쪼이</t>
  </si>
  <si>
    <t>joyjo2</t>
  </si>
  <si>
    <t>한터</t>
  </si>
  <si>
    <t>leehantteo</t>
  </si>
  <si>
    <t>김인호</t>
  </si>
  <si>
    <t>pookygamja</t>
  </si>
  <si>
    <t>오렌지</t>
  </si>
  <si>
    <t>alswnghd1</t>
  </si>
  <si>
    <t>롤선생</t>
  </si>
  <si>
    <t>kissday621</t>
  </si>
  <si>
    <t>쿼드</t>
  </si>
  <si>
    <t>clerver</t>
  </si>
  <si>
    <t>갱제</t>
  </si>
  <si>
    <t>giltae1124</t>
  </si>
  <si>
    <t>김해피</t>
  </si>
  <si>
    <t>imhappygood</t>
  </si>
  <si>
    <t>나는상윤</t>
  </si>
  <si>
    <t>sky2713</t>
  </si>
  <si>
    <t>라코</t>
  </si>
  <si>
    <t>tjfwkdgks</t>
  </si>
  <si>
    <t>웅플</t>
  </si>
  <si>
    <t>zzzz4422</t>
  </si>
  <si>
    <t>준밧드</t>
  </si>
  <si>
    <t>gksdidqksxn</t>
  </si>
  <si>
    <t>킴성태</t>
  </si>
  <si>
    <t>샤코타임</t>
  </si>
  <si>
    <t>asa0921</t>
  </si>
  <si>
    <t>박사장</t>
  </si>
  <si>
    <t>wnstn0905</t>
  </si>
  <si>
    <t>최기명</t>
  </si>
  <si>
    <t>chlrlaud1</t>
  </si>
  <si>
    <t>스맵</t>
  </si>
  <si>
    <t>townboy</t>
  </si>
  <si>
    <t>농떼르만</t>
  </si>
  <si>
    <t>saaaaa1212</t>
  </si>
  <si>
    <t>싸패</t>
  </si>
  <si>
    <t>pkdlwpans</t>
  </si>
  <si>
    <t>코뚱잉</t>
  </si>
  <si>
    <t>zz102zz</t>
  </si>
  <si>
    <t>로기다</t>
  </si>
  <si>
    <t>hrlim95</t>
  </si>
  <si>
    <t>문타로떼</t>
  </si>
  <si>
    <t>jc1507</t>
  </si>
  <si>
    <t>양개토</t>
  </si>
  <si>
    <t>ymbc</t>
  </si>
  <si>
    <t>서건우</t>
  </si>
  <si>
    <t>seogeonwoo</t>
  </si>
  <si>
    <t>dlrnf</t>
  </si>
  <si>
    <t>깨박이</t>
  </si>
  <si>
    <t>지방시</t>
  </si>
  <si>
    <t>kangsinwoos</t>
  </si>
  <si>
    <t>지피티</t>
  </si>
  <si>
    <t>tjrdbs999</t>
  </si>
  <si>
    <t>콩자반</t>
  </si>
  <si>
    <t>midgooit1555</t>
  </si>
  <si>
    <t>이상호</t>
  </si>
  <si>
    <t>타요</t>
  </si>
  <si>
    <t>b13246</t>
  </si>
  <si>
    <t>박진우</t>
  </si>
  <si>
    <t>pyh3646</t>
  </si>
  <si>
    <t>섭이</t>
  </si>
  <si>
    <t>unitelshaki</t>
  </si>
  <si>
    <t>이스타이주헌</t>
  </si>
  <si>
    <t>e9dongsung</t>
  </si>
  <si>
    <t>욱하는형</t>
  </si>
  <si>
    <t>wony218</t>
  </si>
  <si>
    <t>마빡</t>
  </si>
  <si>
    <t>vbvb1230</t>
  </si>
  <si>
    <t>wlsrl2566</t>
  </si>
  <si>
    <t>최군</t>
  </si>
  <si>
    <t>ch1716</t>
  </si>
  <si>
    <t>두치와뿌꾸</t>
  </si>
  <si>
    <t>galsa</t>
  </si>
  <si>
    <t>한둬얼</t>
  </si>
  <si>
    <t>qn308dud</t>
  </si>
  <si>
    <t>박퍼니</t>
  </si>
  <si>
    <t>roket0829</t>
  </si>
  <si>
    <t>김민교</t>
  </si>
  <si>
    <t>phonics1</t>
  </si>
  <si>
    <t>두폴조합</t>
  </si>
  <si>
    <t>hckkhc21</t>
  </si>
  <si>
    <t>정명훈</t>
  </si>
  <si>
    <t>mhj9171</t>
  </si>
  <si>
    <t>남승호</t>
  </si>
  <si>
    <t>nsh433</t>
  </si>
  <si>
    <t>김성현</t>
  </si>
  <si>
    <t>rlatjdgus228</t>
  </si>
  <si>
    <t>뚜란</t>
  </si>
  <si>
    <t>rkdgksrlf</t>
  </si>
  <si>
    <t>박정일</t>
  </si>
  <si>
    <t>wjddlf4695</t>
  </si>
  <si>
    <t>김기환</t>
  </si>
  <si>
    <t>guiltyinori</t>
  </si>
  <si>
    <t>바이키</t>
  </si>
  <si>
    <t>bikey78</t>
  </si>
  <si>
    <t>보리초밥</t>
  </si>
  <si>
    <t>tladnxoekd</t>
  </si>
  <si>
    <t>박선생</t>
  </si>
  <si>
    <t>owen1985</t>
  </si>
  <si>
    <t>사린</t>
  </si>
  <si>
    <t>vsilverv06</t>
  </si>
  <si>
    <t>박해원</t>
  </si>
  <si>
    <t>godnjs8482</t>
  </si>
  <si>
    <t>갈배</t>
  </si>
  <si>
    <t>nana5034</t>
  </si>
  <si>
    <t>삭쿤</t>
  </si>
  <si>
    <t>dgs1212</t>
  </si>
  <si>
    <t>타키</t>
  </si>
  <si>
    <t>ksgw77</t>
  </si>
  <si>
    <t>방열이</t>
  </si>
  <si>
    <t>ljy917</t>
  </si>
  <si>
    <t>손비님</t>
  </si>
  <si>
    <t>www1129</t>
  </si>
  <si>
    <t>엿포</t>
  </si>
  <si>
    <t>anchjjj</t>
  </si>
  <si>
    <t>김수환</t>
  </si>
  <si>
    <t>soso3337</t>
  </si>
  <si>
    <t>한결</t>
  </si>
  <si>
    <t>gyulbbe</t>
  </si>
  <si>
    <t>쑹구리</t>
  </si>
  <si>
    <t>areane</t>
  </si>
  <si>
    <t>수뭉</t>
  </si>
  <si>
    <t>koreasoo</t>
  </si>
  <si>
    <t>우정한</t>
  </si>
  <si>
    <t>gt9800</t>
  </si>
  <si>
    <t>천강형</t>
  </si>
  <si>
    <t>cost000</t>
  </si>
  <si>
    <t>오은유</t>
  </si>
  <si>
    <t>tpwls9664</t>
  </si>
  <si>
    <t>하루</t>
  </si>
  <si>
    <t>zergharu</t>
  </si>
  <si>
    <t>아센저그</t>
  </si>
  <si>
    <t>thswoals3217</t>
  </si>
  <si>
    <t>아재동</t>
  </si>
  <si>
    <t>gosujts1</t>
  </si>
  <si>
    <t>현진교</t>
  </si>
  <si>
    <t>orolyou</t>
  </si>
  <si>
    <t>레이닝</t>
  </si>
  <si>
    <t>dksgusrnr12</t>
  </si>
  <si>
    <t>뭉근</t>
  </si>
  <si>
    <t>brinyguy</t>
  </si>
  <si>
    <t>짱연</t>
  </si>
  <si>
    <t>poal901</t>
  </si>
  <si>
    <t>썽처리</t>
  </si>
  <si>
    <t>tjdcjf2323</t>
  </si>
  <si>
    <t>조덕준</t>
  </si>
  <si>
    <t>noagoon</t>
  </si>
  <si>
    <t>저심이</t>
  </si>
  <si>
    <t>yesyem</t>
  </si>
  <si>
    <t>빵주둥</t>
  </si>
  <si>
    <t>junwoong17</t>
  </si>
  <si>
    <t>배인규</t>
  </si>
  <si>
    <t>inkyu39</t>
  </si>
  <si>
    <t>Bj샤크</t>
  </si>
  <si>
    <t>yhm4471</t>
  </si>
  <si>
    <t>임성춘</t>
  </si>
  <si>
    <t>lanchia</t>
  </si>
  <si>
    <t>박한별</t>
  </si>
  <si>
    <t>bisu20190301</t>
  </si>
  <si>
    <t>박정석</t>
  </si>
  <si>
    <t>reach12</t>
  </si>
  <si>
    <t>임재우</t>
  </si>
  <si>
    <t>shoumikoto</t>
  </si>
  <si>
    <t>qazw12345</t>
  </si>
  <si>
    <t>스비짱</t>
  </si>
  <si>
    <t>hirsy03</t>
  </si>
  <si>
    <t>김석현</t>
  </si>
  <si>
    <t>tjr2440</t>
  </si>
  <si>
    <t>철이형</t>
  </si>
  <si>
    <t>windboy0712</t>
  </si>
  <si>
    <t>Dewalt</t>
  </si>
  <si>
    <t>gosustar11</t>
  </si>
  <si>
    <t>김은호</t>
  </si>
  <si>
    <t>qkrqhruddl1</t>
  </si>
  <si>
    <t>퀑퀑</t>
  </si>
  <si>
    <t>dowk1818</t>
  </si>
  <si>
    <t>jg9147zx</t>
  </si>
  <si>
    <t>디오지구요</t>
  </si>
  <si>
    <t>gosu0501</t>
  </si>
  <si>
    <t>승하</t>
  </si>
  <si>
    <t>comtoss</t>
  </si>
  <si>
    <t>단팥크림빵</t>
  </si>
  <si>
    <t>wjdtjdgh115</t>
  </si>
  <si>
    <t>리제</t>
  </si>
  <si>
    <t>devilbrother</t>
  </si>
  <si>
    <t>딱딱준</t>
  </si>
  <si>
    <t>ucicos1</t>
  </si>
  <si>
    <t>비만드라군</t>
  </si>
  <si>
    <t>wlsgur0113</t>
  </si>
  <si>
    <t>이무돌</t>
  </si>
  <si>
    <t>dlangusrnt</t>
  </si>
  <si>
    <t>웃바</t>
  </si>
  <si>
    <t>tmdwn0314</t>
  </si>
  <si>
    <t>제이수</t>
  </si>
  <si>
    <t>jsu0622</t>
  </si>
  <si>
    <t>나맹</t>
  </si>
  <si>
    <t>lnk001</t>
  </si>
  <si>
    <t>백수옵하</t>
  </si>
  <si>
    <t>dongwookim93</t>
  </si>
  <si>
    <t>강칠</t>
  </si>
  <si>
    <t>jicuking</t>
  </si>
  <si>
    <t>차뇽이</t>
  </si>
  <si>
    <t>tkah332</t>
  </si>
  <si>
    <t>도준</t>
  </si>
  <si>
    <t>daejoong007</t>
  </si>
  <si>
    <t>바이칼</t>
  </si>
  <si>
    <t>elfjenix</t>
  </si>
  <si>
    <t>때끼야</t>
  </si>
  <si>
    <t>deep233</t>
  </si>
  <si>
    <t>파란햇님</t>
  </si>
  <si>
    <t>pppsssjjj123</t>
  </si>
  <si>
    <t>노지호</t>
  </si>
  <si>
    <t>njh5028</t>
  </si>
  <si>
    <t>권오현</t>
  </si>
  <si>
    <t>dkdltmvjscl</t>
  </si>
  <si>
    <t>임현창</t>
  </si>
  <si>
    <t>kjyeon0330</t>
  </si>
  <si>
    <t>황재상</t>
  </si>
  <si>
    <t>gwacheonace</t>
  </si>
  <si>
    <t>장승철</t>
  </si>
  <si>
    <t>산다라</t>
  </si>
  <si>
    <t>카덴지</t>
  </si>
  <si>
    <t>cadenzie</t>
  </si>
  <si>
    <t>연다람지</t>
  </si>
  <si>
    <t>laady1</t>
  </si>
  <si>
    <t>모꿀몬</t>
  </si>
  <si>
    <t>msuk2017</t>
  </si>
  <si>
    <t>혜로로</t>
  </si>
  <si>
    <t>llqqqq</t>
  </si>
  <si>
    <t>2021-08-30, 2021-12-27</t>
  </si>
  <si>
    <t>2021-07-10, 2021-09-08, 2024-04-10</t>
  </si>
  <si>
    <t>thetis</t>
  </si>
  <si>
    <t>오리3</t>
  </si>
  <si>
    <t>cat123123</t>
  </si>
  <si>
    <t>규리야</t>
  </si>
  <si>
    <t>bagguul</t>
  </si>
  <si>
    <t>별비</t>
  </si>
  <si>
    <t>xvvx1859</t>
  </si>
  <si>
    <t>유혜미</t>
  </si>
  <si>
    <t>love1uu</t>
  </si>
  <si>
    <t>추르미</t>
  </si>
  <si>
    <t>dksldi1010</t>
  </si>
  <si>
    <t>상어녀</t>
  </si>
  <si>
    <t>우끼끼즈, 철기중대, 철와대, 뉴캣슬, 무창클럽</t>
  </si>
  <si>
    <t>jieun3297</t>
  </si>
  <si>
    <t>2021-08-20, 2021-11-01</t>
  </si>
  <si>
    <t>양양</t>
  </si>
  <si>
    <t>95yvely</t>
  </si>
  <si>
    <t>야리</t>
  </si>
  <si>
    <t>yamimi00</t>
  </si>
  <si>
    <t>방실이</t>
  </si>
  <si>
    <t>ergo1234</t>
  </si>
  <si>
    <t>럭뜨</t>
  </si>
  <si>
    <t>melong48</t>
  </si>
  <si>
    <t>귤</t>
  </si>
  <si>
    <t>lubilulu</t>
  </si>
  <si>
    <t>하곰</t>
  </si>
  <si>
    <t>hagom2</t>
  </si>
  <si>
    <t>유복실</t>
  </si>
  <si>
    <t>yoomingseo</t>
  </si>
  <si>
    <t>김뽀뇨</t>
  </si>
  <si>
    <t>boyun96</t>
  </si>
  <si>
    <t>안녕하세연두</t>
  </si>
  <si>
    <t>yejin6503</t>
  </si>
  <si>
    <t>재연</t>
  </si>
  <si>
    <t>good0267</t>
  </si>
  <si>
    <t>하리</t>
  </si>
  <si>
    <t>jjyjeh5454</t>
  </si>
  <si>
    <t>알밤소녀</t>
  </si>
  <si>
    <t>gom29a</t>
  </si>
  <si>
    <t>하호키나비</t>
  </si>
  <si>
    <t>jina7575</t>
  </si>
  <si>
    <t>단잉</t>
  </si>
  <si>
    <t>daeun0793</t>
  </si>
  <si>
    <t>이뀨</t>
  </si>
  <si>
    <t>10041004j</t>
  </si>
  <si>
    <t>황핫바</t>
  </si>
  <si>
    <t>dms0414</t>
  </si>
  <si>
    <t>인나</t>
  </si>
  <si>
    <t>lchicl</t>
  </si>
  <si>
    <t>태영</t>
  </si>
  <si>
    <t>xodud1898</t>
  </si>
  <si>
    <t>우리밍</t>
  </si>
  <si>
    <t>kmj05317</t>
  </si>
  <si>
    <t>무찌</t>
  </si>
  <si>
    <t>mudorl</t>
  </si>
  <si>
    <t>꼬꼬</t>
  </si>
  <si>
    <t>rkfflr96</t>
  </si>
  <si>
    <t>김요요</t>
  </si>
  <si>
    <t>imheeyaaa</t>
  </si>
  <si>
    <t>림예이</t>
  </si>
  <si>
    <t>yeeeahm97</t>
  </si>
  <si>
    <t>조오리</t>
  </si>
  <si>
    <t>bobun</t>
  </si>
  <si>
    <t>NSU, GOU, 묵섭대, 섭이대, 거사대, 두림하이</t>
  </si>
  <si>
    <t>렘레미</t>
  </si>
  <si>
    <t>yyh3397</t>
  </si>
  <si>
    <t>2021-07-13, 2021-12-27</t>
  </si>
  <si>
    <t>꿀비</t>
  </si>
  <si>
    <t>crazygirl18</t>
  </si>
  <si>
    <t>콧등콧등</t>
  </si>
  <si>
    <t>yoonji787</t>
  </si>
  <si>
    <t>젤린이</t>
  </si>
  <si>
    <t>jellin12</t>
  </si>
  <si>
    <t>천사윤</t>
  </si>
  <si>
    <t>tgzbest</t>
  </si>
  <si>
    <t>이온</t>
  </si>
  <si>
    <t>bibubi12</t>
  </si>
  <si>
    <t>임밍지</t>
  </si>
  <si>
    <t>dlaalswl22</t>
  </si>
  <si>
    <t>늪지대, 할없녀, 이노대, 장독대, 뉴캣슬, YB</t>
  </si>
  <si>
    <t>초롱빡</t>
  </si>
  <si>
    <t>ppeue0625</t>
  </si>
  <si>
    <t>MSG, NASA, 늪지대</t>
  </si>
  <si>
    <t>은똥</t>
  </si>
  <si>
    <t>ddd001</t>
  </si>
  <si>
    <t>성예량</t>
  </si>
  <si>
    <t>dpfkd99</t>
  </si>
  <si>
    <t>나세</t>
  </si>
  <si>
    <t>sisihae21</t>
  </si>
  <si>
    <t>순자</t>
  </si>
  <si>
    <t>soonja2021</t>
  </si>
  <si>
    <t>지유</t>
  </si>
  <si>
    <t>chzh1chzh</t>
  </si>
  <si>
    <t>공춘리</t>
  </si>
  <si>
    <t>tjfdk6664</t>
  </si>
  <si>
    <t>효딤</t>
  </si>
  <si>
    <t>tladl5572</t>
  </si>
  <si>
    <t>데인티</t>
  </si>
  <si>
    <t>p17482</t>
  </si>
  <si>
    <t>뚜비</t>
  </si>
  <si>
    <t>lkim12</t>
  </si>
  <si>
    <t>늪지대, 흑카데미, JSA, 장독대, 뉴캣슬,  HM</t>
  </si>
  <si>
    <t>만다</t>
  </si>
  <si>
    <t>kangjikk</t>
  </si>
  <si>
    <t>김하선</t>
  </si>
  <si>
    <t>bjcherrybs</t>
  </si>
  <si>
    <t>너부리</t>
  </si>
  <si>
    <t>dbqlcsk4</t>
  </si>
  <si>
    <t>경짱</t>
  </si>
  <si>
    <t>kzzang96</t>
  </si>
  <si>
    <t>해나</t>
  </si>
  <si>
    <t>talestar</t>
  </si>
  <si>
    <t>혜리</t>
  </si>
  <si>
    <t>khr0427</t>
  </si>
  <si>
    <t>여밍</t>
  </si>
  <si>
    <t>yeoming422</t>
  </si>
  <si>
    <t>야미</t>
  </si>
  <si>
    <t>kisss2</t>
  </si>
  <si>
    <t>단양</t>
  </si>
  <si>
    <t>xshinx</t>
  </si>
  <si>
    <t>란란</t>
  </si>
  <si>
    <t>rhf104</t>
  </si>
  <si>
    <t>CP, 캄성여대, 방치클럽, 장독대, 씨나인</t>
  </si>
  <si>
    <t>임아니</t>
  </si>
  <si>
    <t>1004suna</t>
  </si>
  <si>
    <t>염석대, 무친대, YB</t>
  </si>
  <si>
    <t>연어덮밥</t>
  </si>
  <si>
    <t>cksah1</t>
  </si>
  <si>
    <t>오기</t>
  </si>
  <si>
    <t>rhsqlsu</t>
  </si>
  <si>
    <t>러아</t>
  </si>
  <si>
    <t>smmms2002</t>
  </si>
  <si>
    <t>연둥바둥</t>
  </si>
  <si>
    <t>ka9rapang</t>
  </si>
  <si>
    <t>2022-02-13, 2023-08-13</t>
  </si>
  <si>
    <t>묘아</t>
  </si>
  <si>
    <t>nodubu</t>
  </si>
  <si>
    <t>윤나라</t>
  </si>
  <si>
    <t>oi123456</t>
  </si>
  <si>
    <t>뿌리</t>
  </si>
  <si>
    <t>nigttp12</t>
  </si>
  <si>
    <t>쵸이</t>
  </si>
  <si>
    <t>cwg07152</t>
  </si>
  <si>
    <t>루루</t>
  </si>
  <si>
    <t>y970308</t>
  </si>
  <si>
    <t>강새이</t>
  </si>
  <si>
    <t>bbbaesiii</t>
  </si>
  <si>
    <t>다연이</t>
  </si>
  <si>
    <t>yeonee1129</t>
  </si>
  <si>
    <t>미니쉘</t>
  </si>
  <si>
    <t>dkssudzz11</t>
  </si>
  <si>
    <t>홍이랑</t>
  </si>
  <si>
    <t>ghdguswo</t>
  </si>
  <si>
    <t>기룡이</t>
  </si>
  <si>
    <t>feet10</t>
  </si>
  <si>
    <t>도꿍</t>
  </si>
  <si>
    <t>qwe97888</t>
  </si>
  <si>
    <t>써니</t>
  </si>
  <si>
    <t>heesunn</t>
  </si>
  <si>
    <t>동겜누</t>
  </si>
  <si>
    <t>hsan1960</t>
  </si>
  <si>
    <t>난초</t>
  </si>
  <si>
    <t>blackchu</t>
  </si>
  <si>
    <t>뽀요밍</t>
  </si>
  <si>
    <t>audekals</t>
  </si>
  <si>
    <t>으냉이</t>
  </si>
  <si>
    <t>rhakdncjs90</t>
  </si>
  <si>
    <t>수수한세리</t>
  </si>
  <si>
    <t>ceri123</t>
  </si>
  <si>
    <t>조현</t>
  </si>
  <si>
    <t>hilxvy9</t>
  </si>
  <si>
    <t>깅예솔</t>
  </si>
  <si>
    <t>yunhee1222</t>
  </si>
  <si>
    <t>우끼끼즈, 염석대, 철와대, 씨나인</t>
  </si>
  <si>
    <t>또루시</t>
  </si>
  <si>
    <t>zkfldis1</t>
  </si>
  <si>
    <t>혜라</t>
  </si>
  <si>
    <t>lovingyou7</t>
  </si>
  <si>
    <t>김레인</t>
  </si>
  <si>
    <t>kdb1223</t>
  </si>
  <si>
    <t>혜윰</t>
  </si>
  <si>
    <t>hyemi1127</t>
  </si>
  <si>
    <t>히댕</t>
  </si>
  <si>
    <t>ouo20411</t>
  </si>
  <si>
    <t>김태향</t>
  </si>
  <si>
    <t>nk0990409</t>
  </si>
  <si>
    <t>거성대, 늪지대, JSA</t>
  </si>
  <si>
    <t>미니언</t>
  </si>
  <si>
    <t>alsgus00</t>
  </si>
  <si>
    <t>2022-07-06, 2022-10-15</t>
  </si>
  <si>
    <t>밍도릿</t>
  </si>
  <si>
    <t>chziaxz</t>
  </si>
  <si>
    <t>JSA, 케이대, ASG, HM</t>
  </si>
  <si>
    <t>수핸</t>
  </si>
  <si>
    <t>tv112</t>
  </si>
  <si>
    <t>빵미유</t>
  </si>
  <si>
    <t>meyou0107</t>
  </si>
  <si>
    <t>마우낭</t>
  </si>
  <si>
    <t>nanaming4</t>
  </si>
  <si>
    <t>pi0314</t>
  </si>
  <si>
    <t>서윤</t>
  </si>
  <si>
    <t>yunheehoho</t>
  </si>
  <si>
    <t>야린</t>
  </si>
  <si>
    <t>9znonz5</t>
  </si>
  <si>
    <t>하윰</t>
  </si>
  <si>
    <t>aldbwjd1</t>
  </si>
  <si>
    <t>비너스</t>
  </si>
  <si>
    <t>mamami09</t>
  </si>
  <si>
    <t>도읍지</t>
  </si>
  <si>
    <t>doeupzi</t>
  </si>
  <si>
    <t>오향</t>
  </si>
  <si>
    <t>uu1289</t>
  </si>
  <si>
    <t>캐찹이</t>
  </si>
  <si>
    <t>sanhayyam</t>
  </si>
  <si>
    <t>줄뜯냥</t>
  </si>
  <si>
    <t>biingzza</t>
  </si>
  <si>
    <t>하랑</t>
  </si>
  <si>
    <t>candyrang00</t>
  </si>
  <si>
    <t>팥순</t>
  </si>
  <si>
    <t>popoten</t>
  </si>
  <si>
    <t>2021-09-18, 2021-11-22</t>
  </si>
  <si>
    <t>2021-11-13, 2021-12-27</t>
  </si>
  <si>
    <t>양유정</t>
  </si>
  <si>
    <t>jmk5883</t>
  </si>
  <si>
    <t>뿌하</t>
  </si>
  <si>
    <t>aaaa7979</t>
  </si>
  <si>
    <t>다우미</t>
  </si>
  <si>
    <t>daum0319</t>
  </si>
  <si>
    <t>안부</t>
  </si>
  <si>
    <t>yrunihl</t>
  </si>
  <si>
    <t>하희</t>
  </si>
  <si>
    <t>lemondrops</t>
  </si>
  <si>
    <t>도맑음</t>
  </si>
  <si>
    <t>malguman</t>
  </si>
  <si>
    <t>류하</t>
  </si>
  <si>
    <t>rrrr4719</t>
  </si>
  <si>
    <t>이루리</t>
  </si>
  <si>
    <t>judy0848</t>
  </si>
  <si>
    <t>다쁘</t>
  </si>
  <si>
    <t>ekgml8766</t>
  </si>
  <si>
    <t>엄보리</t>
  </si>
  <si>
    <t>wlsdkd1</t>
  </si>
  <si>
    <t>정선대, 엠비대, JSA</t>
  </si>
  <si>
    <t>하부기</t>
  </si>
  <si>
    <t>gkdud8463</t>
  </si>
  <si>
    <t>안겨</t>
  </si>
  <si>
    <t>dackda</t>
  </si>
  <si>
    <t>김세아</t>
  </si>
  <si>
    <t>kimseah94</t>
  </si>
  <si>
    <t>콩두부</t>
  </si>
  <si>
    <t>kanghee</t>
  </si>
  <si>
    <t>단아냥</t>
  </si>
  <si>
    <t>ocollllll</t>
  </si>
  <si>
    <t>파나나</t>
  </si>
  <si>
    <t>tigger950312</t>
  </si>
  <si>
    <t>듀단</t>
  </si>
  <si>
    <t>dudadi770</t>
  </si>
  <si>
    <t>주아니</t>
  </si>
  <si>
    <t>juanny</t>
  </si>
  <si>
    <t>마꼬</t>
  </si>
  <si>
    <t>dodenvoa</t>
  </si>
  <si>
    <t>레나양</t>
  </si>
  <si>
    <t>lovelevo</t>
  </si>
  <si>
    <t>꽃봄</t>
  </si>
  <si>
    <t>hayoon0122</t>
  </si>
  <si>
    <t>안꼬</t>
  </si>
  <si>
    <t>rhoddl22</t>
  </si>
  <si>
    <t>빵지니</t>
  </si>
  <si>
    <t>son4069</t>
  </si>
  <si>
    <t>혜지연</t>
  </si>
  <si>
    <t>wldus5565</t>
  </si>
  <si>
    <t>2021-12-21, 2022-02-13</t>
  </si>
  <si>
    <t>2022-02-01, 2022-02-20</t>
  </si>
  <si>
    <t>새별</t>
  </si>
  <si>
    <t>sbpark0120</t>
  </si>
  <si>
    <t>이백조</t>
  </si>
  <si>
    <t>mochiya</t>
  </si>
  <si>
    <t>진여</t>
  </si>
  <si>
    <t>ghdwlsdu123</t>
  </si>
  <si>
    <t>김하율</t>
  </si>
  <si>
    <t>yur22222</t>
  </si>
  <si>
    <t>야옹민지</t>
  </si>
  <si>
    <t>mingee1030</t>
  </si>
  <si>
    <t>서히밈</t>
  </si>
  <si>
    <t>sollac918</t>
  </si>
  <si>
    <t>다혜</t>
  </si>
  <si>
    <t>loveda91</t>
  </si>
  <si>
    <t>최고요</t>
  </si>
  <si>
    <t>kkutta23</t>
  </si>
  <si>
    <t>윤유연</t>
  </si>
  <si>
    <t>yunyuyeon</t>
  </si>
  <si>
    <t>한유주</t>
  </si>
  <si>
    <t>mercia</t>
  </si>
  <si>
    <t>유히루</t>
  </si>
  <si>
    <t>tkdldy12</t>
  </si>
  <si>
    <t>이연화</t>
  </si>
  <si>
    <t>queen1212</t>
  </si>
  <si>
    <t>뷰러</t>
  </si>
  <si>
    <t>janusohg</t>
  </si>
  <si>
    <t>우마루대장</t>
  </si>
  <si>
    <t>nyayoung98</t>
  </si>
  <si>
    <t>나능토끼야</t>
  </si>
  <si>
    <t>toggi001</t>
  </si>
  <si>
    <t>예빈</t>
  </si>
  <si>
    <t>dn2116</t>
  </si>
  <si>
    <t>탠지</t>
  </si>
  <si>
    <t>cakeee</t>
  </si>
  <si>
    <t>까망이</t>
  </si>
  <si>
    <t>kkimkin0326</t>
  </si>
  <si>
    <t>박나닝</t>
  </si>
  <si>
    <t>na2un</t>
  </si>
  <si>
    <t>이톨</t>
  </si>
  <si>
    <t>tjsrhr123</t>
  </si>
  <si>
    <t>혜링딩동</t>
  </si>
  <si>
    <t>gpwls4646</t>
  </si>
  <si>
    <t>금규리</t>
  </si>
  <si>
    <t>iioo8899</t>
  </si>
  <si>
    <t>길영</t>
  </si>
  <si>
    <t>ara2580</t>
  </si>
  <si>
    <t>예원이</t>
  </si>
  <si>
    <t>dnjs0316</t>
  </si>
  <si>
    <t>매린</t>
  </si>
  <si>
    <t>zxc431</t>
  </si>
  <si>
    <t>봉희</t>
  </si>
  <si>
    <t>dpswpf50</t>
  </si>
  <si>
    <t>갓지야</t>
  </si>
  <si>
    <t>kjw4444</t>
  </si>
  <si>
    <t>롤링</t>
  </si>
  <si>
    <t>dpdms158</t>
  </si>
  <si>
    <t>오세블리</t>
  </si>
  <si>
    <t>impact501</t>
  </si>
  <si>
    <t>홍혜리</t>
  </si>
  <si>
    <t>hyeree1230</t>
  </si>
  <si>
    <t>주보리</t>
  </si>
  <si>
    <t>under444</t>
  </si>
  <si>
    <t>캄성여대, YB</t>
  </si>
  <si>
    <t>쪼예냥</t>
  </si>
  <si>
    <t>flqhs105</t>
  </si>
  <si>
    <t>또비니</t>
  </si>
  <si>
    <t>dyddnjsqls</t>
  </si>
  <si>
    <t>또희</t>
  </si>
  <si>
    <t>ryo960415</t>
  </si>
  <si>
    <t>아리엘</t>
  </si>
  <si>
    <t>sia0518</t>
  </si>
  <si>
    <t>다예나</t>
  </si>
  <si>
    <t>sa03030</t>
  </si>
  <si>
    <t>하루묭</t>
  </si>
  <si>
    <t>harumyong</t>
  </si>
  <si>
    <t>사사삼</t>
  </si>
  <si>
    <t>bangsong12</t>
  </si>
  <si>
    <t>늪지대, 뉴캣슬, HM</t>
  </si>
  <si>
    <t>하리보나</t>
  </si>
  <si>
    <t>do33ob</t>
  </si>
  <si>
    <t>따뜻</t>
  </si>
  <si>
    <t>dduuccu</t>
  </si>
  <si>
    <t>헤니</t>
  </si>
  <si>
    <t>jhw215</t>
  </si>
  <si>
    <t>갓지니</t>
  </si>
  <si>
    <t>ekf199</t>
  </si>
  <si>
    <t>짱다</t>
  </si>
  <si>
    <t>jjang05</t>
  </si>
  <si>
    <t>엄키키</t>
  </si>
  <si>
    <t>umji1218</t>
  </si>
  <si>
    <t>흑설</t>
  </si>
  <si>
    <t>s2appeal</t>
  </si>
  <si>
    <t>뽀인구단, 늪지대, BGM</t>
  </si>
  <si>
    <t>햇참새</t>
  </si>
  <si>
    <t>eun0c0</t>
  </si>
  <si>
    <t>여우비</t>
  </si>
  <si>
    <t>qks717cks</t>
  </si>
  <si>
    <t>은시</t>
  </si>
  <si>
    <t>bamiba2</t>
  </si>
  <si>
    <t>보나</t>
  </si>
  <si>
    <t>ybc2070</t>
  </si>
  <si>
    <t>으나으나</t>
  </si>
  <si>
    <t>dmsdk708</t>
  </si>
  <si>
    <t>짱시원</t>
  </si>
  <si>
    <t>iamcoolgirls</t>
  </si>
  <si>
    <t>지아</t>
  </si>
  <si>
    <t>choni1004</t>
  </si>
  <si>
    <t>꿀떡이</t>
  </si>
  <si>
    <t>megapesho</t>
  </si>
  <si>
    <t>김우리</t>
  </si>
  <si>
    <t>yooni1006</t>
  </si>
  <si>
    <t>김이욜</t>
  </si>
  <si>
    <t>kimyiyol</t>
  </si>
  <si>
    <t>고도반</t>
  </si>
  <si>
    <t>yurim0726</t>
  </si>
  <si>
    <t>센또</t>
  </si>
  <si>
    <t>seeun0104</t>
  </si>
  <si>
    <t>덕순이</t>
  </si>
  <si>
    <t>soojin3190</t>
  </si>
  <si>
    <t>채소이</t>
  </si>
  <si>
    <t>isois2</t>
  </si>
  <si>
    <t>김무무</t>
  </si>
  <si>
    <t>namoo0317</t>
  </si>
  <si>
    <t>매시리</t>
  </si>
  <si>
    <t>maesiri</t>
  </si>
  <si>
    <t>쮸렘</t>
  </si>
  <si>
    <t>qhfkaekwjd</t>
  </si>
  <si>
    <t>나는푸르</t>
  </si>
  <si>
    <t>bhw2209</t>
  </si>
  <si>
    <t>돌애정</t>
  </si>
  <si>
    <t>segguswjd</t>
  </si>
  <si>
    <t>히추</t>
  </si>
  <si>
    <t>hicn0825</t>
  </si>
  <si>
    <t>한소끔</t>
  </si>
  <si>
    <t>dalsoo01</t>
  </si>
  <si>
    <t>시먼지</t>
  </si>
  <si>
    <t>ch77667766</t>
  </si>
  <si>
    <t>여운</t>
  </si>
  <si>
    <t>rememberdk</t>
  </si>
  <si>
    <t>수바</t>
  </si>
  <si>
    <t>czhyun00</t>
  </si>
  <si>
    <t>엘퀸</t>
  </si>
  <si>
    <t>poorelia</t>
  </si>
  <si>
    <t>브희</t>
  </si>
  <si>
    <t>jinhi1004</t>
  </si>
  <si>
    <t>모모</t>
  </si>
  <si>
    <t>nunun723</t>
  </si>
  <si>
    <t>임하리</t>
  </si>
  <si>
    <t>harihari22</t>
  </si>
  <si>
    <t>희나</t>
  </si>
  <si>
    <t>lsh1730s</t>
  </si>
  <si>
    <t>지홋치</t>
  </si>
  <si>
    <t>seer5666</t>
  </si>
  <si>
    <t>하시나</t>
  </si>
  <si>
    <t>kc1459kc</t>
  </si>
  <si>
    <t>인사루미</t>
  </si>
  <si>
    <t>irumi123</t>
  </si>
  <si>
    <t>림이</t>
  </si>
  <si>
    <t>lim0108</t>
  </si>
  <si>
    <t>쮸식이</t>
  </si>
  <si>
    <t>jjuusik2</t>
  </si>
  <si>
    <t>짱이쥬</t>
  </si>
  <si>
    <t>tuwa94</t>
  </si>
  <si>
    <t>고요</t>
  </si>
  <si>
    <t>goyo030</t>
  </si>
  <si>
    <t>초이</t>
  </si>
  <si>
    <t>행복짱</t>
  </si>
  <si>
    <t>hikikojjang</t>
  </si>
  <si>
    <t>민트</t>
  </si>
  <si>
    <t>thfk13579</t>
  </si>
  <si>
    <t>새밍</t>
  </si>
  <si>
    <t>toald4187</t>
  </si>
  <si>
    <t>거사대, 뽀인구단</t>
  </si>
  <si>
    <t>단이</t>
  </si>
  <si>
    <t>n0219ekdms</t>
  </si>
  <si>
    <t>구쁘</t>
  </si>
  <si>
    <t>gmlwldi</t>
  </si>
  <si>
    <t>아망뚜</t>
  </si>
  <si>
    <t>mangd11</t>
  </si>
  <si>
    <t>YB, ASG</t>
  </si>
  <si>
    <t>여누띠</t>
  </si>
  <si>
    <t>momori</t>
  </si>
  <si>
    <t>은아가</t>
  </si>
  <si>
    <t>xltb355</t>
  </si>
  <si>
    <t>리하</t>
  </si>
  <si>
    <t>slimes2</t>
  </si>
  <si>
    <t>윤니</t>
  </si>
  <si>
    <t>kabc9812022</t>
  </si>
  <si>
    <t>송주밍</t>
  </si>
  <si>
    <t>jxyaa43</t>
  </si>
  <si>
    <t>이쁘띠</t>
  </si>
  <si>
    <t>2089kkk</t>
  </si>
  <si>
    <t>kcomfort4200</t>
  </si>
  <si>
    <t>허지율</t>
  </si>
  <si>
    <t>ljmssjm0737</t>
  </si>
  <si>
    <t>수붕</t>
  </si>
  <si>
    <t>ododk729</t>
  </si>
  <si>
    <t>김홀릭</t>
  </si>
  <si>
    <t>holickk</t>
  </si>
  <si>
    <t>유이비</t>
  </si>
  <si>
    <t>nekonekoni</t>
  </si>
  <si>
    <t>쩡아</t>
  </si>
  <si>
    <t>sovely23</t>
  </si>
  <si>
    <t>팽유</t>
  </si>
  <si>
    <t>paeng1214</t>
  </si>
  <si>
    <t>채링</t>
  </si>
  <si>
    <t>nitory5645</t>
  </si>
  <si>
    <t>옥이</t>
  </si>
  <si>
    <t>taylor4823</t>
  </si>
  <si>
    <t>삼교</t>
  </si>
  <si>
    <t>jsg0301</t>
  </si>
  <si>
    <t>와플대, HM</t>
  </si>
  <si>
    <t>솜가누</t>
  </si>
  <si>
    <t>ektha0714</t>
  </si>
  <si>
    <t>정여울</t>
  </si>
  <si>
    <t>jdb6935</t>
  </si>
  <si>
    <t>슬랑이</t>
  </si>
  <si>
    <t>qszqaz</t>
  </si>
  <si>
    <t>서금이</t>
  </si>
  <si>
    <t>seoeun3104</t>
  </si>
  <si>
    <t>보고니</t>
  </si>
  <si>
    <t>bogong</t>
  </si>
  <si>
    <t>하요야</t>
  </si>
  <si>
    <t>raso0601</t>
  </si>
  <si>
    <t>레이데쓰</t>
  </si>
  <si>
    <t>cnm1101</t>
  </si>
  <si>
    <t>히라마</t>
  </si>
  <si>
    <t>yuxiann</t>
  </si>
  <si>
    <t>김봄비</t>
  </si>
  <si>
    <t>성은</t>
  </si>
  <si>
    <t>ahahah1123</t>
  </si>
  <si>
    <t>만찌이</t>
  </si>
  <si>
    <t>chltjdus4545</t>
  </si>
  <si>
    <t>화선</t>
  </si>
  <si>
    <t>dudtjs5546</t>
  </si>
  <si>
    <t>규리</t>
  </si>
  <si>
    <t>vldzm9749</t>
  </si>
  <si>
    <t>땃쥐</t>
  </si>
  <si>
    <t>히요코</t>
  </si>
  <si>
    <t>hiyoko040</t>
  </si>
  <si>
    <t>있찌</t>
  </si>
  <si>
    <t>wegogin7410</t>
  </si>
  <si>
    <t>ASG, 와플대</t>
  </si>
  <si>
    <t>비그리</t>
  </si>
  <si>
    <t>eun9116</t>
  </si>
  <si>
    <t>뀨알</t>
  </si>
  <si>
    <t>kus03125</t>
  </si>
  <si>
    <t>뉴캣슬, 노적단</t>
  </si>
  <si>
    <t>찡찡시아</t>
  </si>
  <si>
    <t>siahag</t>
  </si>
  <si>
    <t>늪지대, 노적단</t>
  </si>
  <si>
    <t>지아송</t>
  </si>
  <si>
    <t>nkelly6085</t>
  </si>
  <si>
    <t>하이유</t>
  </si>
  <si>
    <t>yen1993</t>
  </si>
  <si>
    <t>우질</t>
  </si>
  <si>
    <t>clzhf123</t>
  </si>
  <si>
    <t>민서먕</t>
  </si>
  <si>
    <t>강채</t>
  </si>
  <si>
    <t>paran9</t>
  </si>
  <si>
    <t>강주덕</t>
  </si>
  <si>
    <t>z0ez0ez0</t>
  </si>
  <si>
    <t>주콩이</t>
  </si>
  <si>
    <t>jaaa714</t>
  </si>
  <si>
    <t>윤진</t>
  </si>
  <si>
    <t>hge489</t>
  </si>
  <si>
    <t>쮸랑</t>
  </si>
  <si>
    <t>dlrjdpqksepd</t>
  </si>
  <si>
    <t>소냥이에요</t>
  </si>
  <si>
    <t>ssoi0911</t>
  </si>
  <si>
    <t>진자림</t>
  </si>
  <si>
    <t>jinjalime</t>
  </si>
  <si>
    <t>눈또</t>
  </si>
  <si>
    <t>lapq8306</t>
  </si>
  <si>
    <t>하솜</t>
  </si>
  <si>
    <t>umeedayo</t>
  </si>
  <si>
    <t>예꾸</t>
  </si>
  <si>
    <t>qwerbb1</t>
  </si>
  <si>
    <t>팡린</t>
  </si>
  <si>
    <t>nqorfls1231</t>
  </si>
  <si>
    <t>히갱</t>
  </si>
  <si>
    <t>ppoinn55</t>
  </si>
  <si>
    <t>채비</t>
  </si>
  <si>
    <t>clr231026</t>
  </si>
  <si>
    <t>정연이</t>
  </si>
  <si>
    <t>yeom1020</t>
  </si>
  <si>
    <t>ASG, 정선대, 늪지대, HM</t>
  </si>
  <si>
    <t>먹체토</t>
  </si>
  <si>
    <t>cheto1206</t>
  </si>
  <si>
    <t>이노대, JSA, BGM</t>
  </si>
  <si>
    <t>슈퍼딩딩</t>
  </si>
  <si>
    <t>ain718</t>
  </si>
  <si>
    <t>도순정</t>
  </si>
  <si>
    <t>nyujenny19</t>
  </si>
  <si>
    <t>레디</t>
  </si>
  <si>
    <t>oxoxzz</t>
  </si>
  <si>
    <t>이하영</t>
  </si>
  <si>
    <t>konge04</t>
  </si>
  <si>
    <t>지수냠</t>
  </si>
  <si>
    <t>dhekdud8521</t>
  </si>
  <si>
    <t>라짱</t>
  </si>
  <si>
    <t>lkj5642</t>
  </si>
  <si>
    <t>쏘유</t>
  </si>
  <si>
    <t>ssoyu1004</t>
  </si>
  <si>
    <t>쭈디</t>
  </si>
  <si>
    <t>duswn8243</t>
  </si>
  <si>
    <t>맨만숙</t>
  </si>
  <si>
    <t>k3938990</t>
  </si>
  <si>
    <t>사이다</t>
  </si>
  <si>
    <t>안민지</t>
  </si>
  <si>
    <t>minjii</t>
  </si>
  <si>
    <t>잉다현</t>
  </si>
  <si>
    <t>clanixi</t>
  </si>
  <si>
    <t>차정하</t>
  </si>
  <si>
    <t>mysoosoo</t>
  </si>
  <si>
    <t>민가유</t>
  </si>
  <si>
    <t>kkkku96</t>
  </si>
  <si>
    <t>가림</t>
  </si>
  <si>
    <t>minee5928</t>
  </si>
  <si>
    <t>지효</t>
  </si>
  <si>
    <t>yoobee22</t>
  </si>
  <si>
    <t>루아</t>
  </si>
  <si>
    <t>gyu6517</t>
  </si>
  <si>
    <t>억브</t>
  </si>
  <si>
    <t>lllili00</t>
  </si>
  <si>
    <t>송이</t>
  </si>
  <si>
    <t>come125</t>
  </si>
  <si>
    <t>서쫑알</t>
  </si>
  <si>
    <t>wlsgml222</t>
  </si>
  <si>
    <t>쿵야</t>
  </si>
  <si>
    <t>ehfid12</t>
  </si>
  <si>
    <t>바미</t>
  </si>
  <si>
    <t>gys01083</t>
  </si>
  <si>
    <t>박삐삐</t>
  </si>
  <si>
    <t>smpk96</t>
  </si>
  <si>
    <t>더하린</t>
  </si>
  <si>
    <t>theharin</t>
  </si>
  <si>
    <t>다소냥</t>
  </si>
  <si>
    <t>dbgydus0623</t>
  </si>
  <si>
    <t>거사대</t>
  </si>
  <si>
    <t>솜니</t>
  </si>
  <si>
    <t>qkrthals0801</t>
  </si>
  <si>
    <t>츄루비</t>
  </si>
  <si>
    <t>churube</t>
  </si>
  <si>
    <t>나소빵</t>
  </si>
  <si>
    <t>soyoung8075</t>
  </si>
  <si>
    <t>킹봄</t>
  </si>
  <si>
    <t>nbomichae7</t>
  </si>
  <si>
    <t>하연진</t>
  </si>
  <si>
    <t>afyyjj</t>
  </si>
  <si>
    <t>치쨩</t>
  </si>
  <si>
    <t>njyj140822</t>
  </si>
  <si>
    <t>묘묘묫</t>
  </si>
  <si>
    <t>이아린</t>
  </si>
  <si>
    <t>jeehyeonlee</t>
  </si>
  <si>
    <t>땡지</t>
  </si>
  <si>
    <t>yyk3390</t>
  </si>
  <si>
    <t>윤하랑</t>
  </si>
  <si>
    <t>xx00uxx</t>
  </si>
  <si>
    <t>멍라희</t>
  </si>
  <si>
    <t>뉴캣슬, HM</t>
  </si>
  <si>
    <t>옥수수</t>
  </si>
  <si>
    <t>제쥬순</t>
  </si>
  <si>
    <t>dau5888</t>
  </si>
  <si>
    <t>유녜</t>
  </si>
  <si>
    <t>ktulsun00</t>
  </si>
  <si>
    <t>뽀인구단, BGM</t>
  </si>
  <si>
    <t>차차피자</t>
  </si>
  <si>
    <t>chachapizza</t>
  </si>
  <si>
    <t>강콩</t>
  </si>
  <si>
    <t>qkzlqjffo</t>
  </si>
  <si>
    <t>안화</t>
  </si>
  <si>
    <t>tbqlt1004</t>
  </si>
  <si>
    <t>나진이</t>
  </si>
  <si>
    <t>sisi1125</t>
  </si>
  <si>
    <t>투냥츠</t>
  </si>
  <si>
    <t>toocats</t>
  </si>
  <si>
    <t>이이슬</t>
  </si>
  <si>
    <t>lls950513</t>
  </si>
  <si>
    <t>설설설</t>
  </si>
  <si>
    <t>o31511</t>
  </si>
  <si>
    <t>꼰별</t>
  </si>
  <si>
    <t>eb0307</t>
  </si>
  <si>
    <t>두미</t>
  </si>
  <si>
    <t>taijizoom</t>
  </si>
  <si>
    <t>욤짱</t>
  </si>
  <si>
    <t>kkwy0126</t>
  </si>
  <si>
    <t>뉴우</t>
  </si>
  <si>
    <t>fjqmal13</t>
  </si>
  <si>
    <t>베트남테란</t>
  </si>
  <si>
    <t>janghoman</t>
  </si>
  <si>
    <t>JSA</t>
    <phoneticPr fontId="1" type="noConversion"/>
  </si>
  <si>
    <t>체크</t>
  </si>
  <si>
    <t>체크</t>
    <phoneticPr fontId="1" type="noConversion"/>
  </si>
  <si>
    <t>케이대</t>
    <phoneticPr fontId="1" type="noConversion"/>
  </si>
  <si>
    <t>C2</t>
    <phoneticPr fontId="1" type="noConversion"/>
  </si>
  <si>
    <t>햇살 승
VS 늑대채린 Z
오디세이</t>
    <phoneticPr fontId="1" type="noConversion"/>
  </si>
  <si>
    <t>아리송이 패
VS 냥수디 Z
녹아웃</t>
    <phoneticPr fontId="1" type="noConversion"/>
  </si>
  <si>
    <t>치리 패
VS 내가먼지 T
녹아웃</t>
    <phoneticPr fontId="1" type="noConversion"/>
  </si>
  <si>
    <t>김민철 패
VS 장윤철 P
오디세이</t>
    <phoneticPr fontId="1" type="noConversion"/>
  </si>
  <si>
    <t>찌킹 패
VS 링고 P
녹아웃</t>
    <phoneticPr fontId="1" type="noConversion"/>
  </si>
  <si>
    <t>김윤환 승
VS 지동원 패
아이올로스</t>
    <phoneticPr fontId="1" type="noConversion"/>
  </si>
  <si>
    <t>사테 승
VS 박준오 패
아이올로스</t>
    <phoneticPr fontId="1" type="noConversion"/>
  </si>
  <si>
    <t>뉴캣슬</t>
    <phoneticPr fontId="1" type="noConversion"/>
  </si>
  <si>
    <t>드림즈</t>
    <phoneticPr fontId="1" type="noConversion"/>
  </si>
  <si>
    <t>조성호</t>
    <phoneticPr fontId="1" type="noConversion"/>
  </si>
  <si>
    <t>archange1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</si>
</sst>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76" formatCode="_(* #,##0_);_(* \(#,##0\);_(* &quot;-&quot;_);_(@_)"/>
    <numFmt numFmtId="177" formatCode="#,##0_ "/>
    <numFmt numFmtId="178" formatCode="yyyy/mm/dd;@"/>
    <numFmt numFmtId="179" formatCode="0.0%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000000"/>
      <name val="Noto Sans KR"/>
      <family val="3"/>
      <charset val="129"/>
    </font>
    <font>
      <sz val="11"/>
      <color theme="1"/>
      <name val="Noto Sans KR"/>
      <family val="3"/>
      <charset val="129"/>
    </font>
    <font>
      <sz val="11"/>
      <color rgb="FF000000"/>
      <name val="Noto Sans KR"/>
      <family val="3"/>
      <charset val="129"/>
    </font>
    <font>
      <b/>
      <sz val="11"/>
      <color rgb="FFFFFFFF"/>
      <name val="Noto Sans KR"/>
      <family val="3"/>
      <charset val="129"/>
    </font>
    <font>
      <b/>
      <sz val="11"/>
      <color theme="1"/>
      <name val="Noto Sans KR"/>
      <family val="3"/>
      <charset val="129"/>
    </font>
    <font>
      <b/>
      <sz val="11"/>
      <color theme="0"/>
      <name val="Noto Sans KR"/>
      <family val="3"/>
      <charset val="129"/>
    </font>
    <font>
      <sz val="11"/>
      <color rgb="FFFFFFFF"/>
      <name val="Noto Sans KR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ck">
        <color theme="3" tint="0.249977111117893"/>
      </left>
      <right style="thick">
        <color theme="3" tint="0.249977111117893"/>
      </right>
      <top style="thick">
        <color theme="3" tint="0.249977111117893"/>
      </top>
      <bottom style="thick">
        <color theme="3" tint="0.249977111117893"/>
      </bottom>
      <diagonal/>
    </border>
    <border>
      <left style="thick">
        <color theme="0"/>
      </left>
      <right style="thick">
        <color theme="3" tint="0.249977111117893"/>
      </right>
      <top style="thick">
        <color theme="3" tint="0.249977111117893"/>
      </top>
      <bottom style="thick">
        <color theme="3" tint="0.249977111117893"/>
      </bottom>
      <diagonal/>
    </border>
    <border>
      <left style="thick">
        <color theme="3" tint="0.249977111117893"/>
      </left>
      <right style="thick">
        <color theme="0"/>
      </right>
      <top style="thick">
        <color theme="3" tint="0.249977111117893"/>
      </top>
      <bottom style="thick">
        <color theme="3" tint="0.249977111117893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  <border>
      <left/>
      <right style="thick">
        <color theme="0"/>
      </right>
      <top style="thick">
        <color theme="0"/>
      </top>
      <bottom/>
      <diagonal/>
    </border>
  </borders>
  <cellStyleXfs count="3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</cellStyleXfs>
  <cellXfs count="78">
    <xf numFmtId="0" fontId="0" fillId="0" borderId="0" xfId="0">
      <alignment vertical="center"/>
    </xf>
    <xf numFmtId="0" fontId="4" fillId="0" borderId="5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77" fontId="4" fillId="0" borderId="1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179" fontId="8" fillId="3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9" fontId="4" fillId="0" borderId="1" xfId="0" applyNumberFormat="1" applyFont="1" applyBorder="1" applyAlignment="1">
      <alignment horizontal="center" vertical="center" wrapText="1"/>
    </xf>
    <xf numFmtId="177" fontId="4" fillId="2" borderId="1" xfId="0" applyNumberFormat="1" applyFont="1" applyFill="1" applyBorder="1" applyAlignment="1">
      <alignment horizontal="center" vertical="center" wrapText="1"/>
    </xf>
    <xf numFmtId="179" fontId="4" fillId="2" borderId="1" xfId="0" applyNumberFormat="1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178" fontId="4" fillId="0" borderId="1" xfId="0" applyNumberFormat="1" applyFont="1" applyBorder="1" applyAlignment="1">
      <alignment horizontal="center" vertical="center" wrapText="1"/>
    </xf>
    <xf numFmtId="178" fontId="4" fillId="0" borderId="3" xfId="0" applyNumberFormat="1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178" fontId="4" fillId="0" borderId="5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14" fontId="4" fillId="0" borderId="2" xfId="0" applyNumberFormat="1" applyFont="1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178" fontId="4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178" fontId="4" fillId="0" borderId="11" xfId="0" applyNumberFormat="1" applyFont="1" applyBorder="1" applyAlignment="1">
      <alignment horizontal="center" vertical="center" wrapText="1"/>
    </xf>
    <xf numFmtId="0" fontId="6" fillId="0" borderId="4" xfId="1" applyNumberFormat="1" applyFont="1" applyFill="1" applyBorder="1" applyAlignment="1" applyProtection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178" fontId="9" fillId="0" borderId="5" xfId="0" applyNumberFormat="1" applyFont="1" applyBorder="1" applyAlignment="1">
      <alignment horizontal="center" vertical="center" wrapText="1"/>
    </xf>
    <xf numFmtId="177" fontId="4" fillId="0" borderId="3" xfId="0" applyNumberFormat="1" applyFont="1" applyBorder="1" applyAlignment="1">
      <alignment horizontal="center" vertical="center" wrapText="1"/>
    </xf>
    <xf numFmtId="0" fontId="7" fillId="0" borderId="1" xfId="1" applyNumberFormat="1" applyFont="1" applyFill="1" applyBorder="1" applyAlignment="1" applyProtection="1">
      <alignment horizontal="center" vertical="center" wrapText="1"/>
    </xf>
    <xf numFmtId="178" fontId="5" fillId="0" borderId="1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178" fontId="4" fillId="0" borderId="4" xfId="0" applyNumberFormat="1" applyFont="1" applyBorder="1" applyAlignment="1">
      <alignment horizontal="center" vertical="center" wrapText="1"/>
    </xf>
    <xf numFmtId="49" fontId="4" fillId="0" borderId="5" xfId="0" applyNumberFormat="1" applyFont="1" applyBorder="1" applyAlignment="1">
      <alignment horizontal="center" vertical="center" wrapText="1"/>
    </xf>
    <xf numFmtId="177" fontId="4" fillId="0" borderId="5" xfId="0" applyNumberFormat="1" applyFont="1" applyBorder="1" applyAlignment="1">
      <alignment horizontal="center" vertical="center" wrapText="1"/>
    </xf>
    <xf numFmtId="0" fontId="4" fillId="0" borderId="5" xfId="2" applyNumberFormat="1" applyFont="1" applyFill="1" applyBorder="1" applyAlignment="1">
      <alignment horizontal="center" vertical="center" wrapText="1"/>
    </xf>
    <xf numFmtId="0" fontId="4" fillId="0" borderId="2" xfId="2" applyNumberFormat="1" applyFont="1" applyFill="1" applyBorder="1" applyAlignment="1">
      <alignment horizontal="center" vertical="center" wrapText="1"/>
    </xf>
    <xf numFmtId="49" fontId="4" fillId="0" borderId="3" xfId="0" applyNumberFormat="1" applyFont="1" applyBorder="1" applyAlignment="1">
      <alignment horizontal="center" vertical="center" wrapText="1"/>
    </xf>
    <xf numFmtId="0" fontId="4" fillId="0" borderId="3" xfId="2" applyNumberFormat="1" applyFont="1" applyFill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0" fontId="4" fillId="0" borderId="1" xfId="2" applyNumberFormat="1" applyFont="1" applyFill="1" applyBorder="1" applyAlignment="1">
      <alignment horizontal="center" vertical="center" wrapText="1"/>
    </xf>
    <xf numFmtId="177" fontId="4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4" fillId="0" borderId="4" xfId="2" applyNumberFormat="1" applyFont="1" applyFill="1" applyBorder="1" applyAlignment="1">
      <alignment horizontal="center" vertical="center" wrapText="1"/>
    </xf>
    <xf numFmtId="177" fontId="4" fillId="0" borderId="9" xfId="0" applyNumberFormat="1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178" fontId="4" fillId="0" borderId="2" xfId="0" applyNumberFormat="1" applyFont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4" fontId="4" fillId="0" borderId="9" xfId="0" applyNumberFormat="1" applyFont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49" fontId="4" fillId="0" borderId="9" xfId="0" applyNumberFormat="1" applyFont="1" applyBorder="1" applyAlignment="1">
      <alignment horizontal="center" vertical="center" wrapText="1"/>
    </xf>
    <xf numFmtId="0" fontId="4" fillId="0" borderId="9" xfId="2" applyNumberFormat="1" applyFont="1" applyFill="1" applyBorder="1" applyAlignment="1">
      <alignment horizontal="center" vertical="center" wrapText="1"/>
    </xf>
    <xf numFmtId="0" fontId="4" fillId="0" borderId="10" xfId="2" applyNumberFormat="1" applyFont="1" applyFill="1" applyBorder="1" applyAlignment="1">
      <alignment horizontal="center" vertical="center" wrapText="1"/>
    </xf>
    <xf numFmtId="178" fontId="5" fillId="0" borderId="9" xfId="0" applyNumberFormat="1" applyFont="1" applyBorder="1" applyAlignment="1">
      <alignment horizontal="center" vertical="center" wrapText="1"/>
    </xf>
    <xf numFmtId="178" fontId="4" fillId="0" borderId="10" xfId="0" applyNumberFormat="1" applyFont="1" applyBorder="1" applyAlignment="1">
      <alignment horizontal="center" vertical="center" wrapText="1"/>
    </xf>
    <xf numFmtId="0" fontId="3" fillId="0" borderId="3" xfId="1" applyNumberFormat="1" applyFont="1" applyFill="1" applyBorder="1" applyAlignment="1" applyProtection="1">
      <alignment horizontal="center" vertical="center" wrapText="1"/>
    </xf>
    <xf numFmtId="178" fontId="5" fillId="0" borderId="3" xfId="0" applyNumberFormat="1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0" borderId="11" xfId="1" applyNumberFormat="1" applyFont="1" applyFill="1" applyBorder="1" applyAlignment="1" applyProtection="1">
      <alignment horizontal="center" vertical="center" wrapText="1"/>
    </xf>
    <xf numFmtId="0" fontId="4" fillId="0" borderId="9" xfId="0" applyNumberFormat="1" applyFont="1" applyFill="1" applyBorder="1" applyAlignment="1" applyProtection="1">
      <alignment horizontal="center" vertical="center" wrapText="1"/>
    </xf>
    <xf numFmtId="178" fontId="4" fillId="0" borderId="9" xfId="0" applyNumberFormat="1" applyFont="1" applyFill="1" applyBorder="1" applyAlignment="1" applyProtection="1">
      <alignment horizontal="center" vertical="center" wrapText="1"/>
    </xf>
    <xf numFmtId="178" fontId="4" fillId="0" borderId="9" xfId="0" applyNumberFormat="1" applyFont="1" applyFill="1" applyBorder="1" applyAlignment="1">
      <alignment horizontal="center" vertical="center" wrapText="1"/>
    </xf>
  </cellXfs>
  <cellStyles count="3">
    <cellStyle name="백분율" xfId="1" builtinId="5"/>
    <cellStyle name="쉼표 [0]" xfId="2" builtinId="6"/>
    <cellStyle name="표준" xfId="0" builtinId="0"/>
  </cellStyles>
  <dxfs count="210">
    <dxf>
      <font>
        <b/>
        <i val="0"/>
        <color theme="3" tint="9.9948118533890809E-2"/>
      </font>
      <fill>
        <patternFill>
          <bgColor theme="3" tint="0.89996032593768116"/>
        </patternFill>
      </fill>
    </dxf>
    <dxf>
      <font>
        <b/>
        <i val="0"/>
        <color theme="5" tint="-0.499984740745262"/>
      </font>
      <fill>
        <patternFill>
          <bgColor rgb="FFFFC8C8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/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alignment horizontal="center" vertical="center" textRotation="0" wrapText="1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alignment horizontal="center" vertical="center" textRotation="0" wrapText="1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alignment horizontal="center" vertical="center" textRotation="0" wrapText="1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alignment horizontal="center" vertical="center" textRotation="0" wrapText="1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alignment horizontal="center" vertical="center" textRotation="0" wrapText="1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alignment horizontal="center" vertical="center" textRotation="0" wrapText="1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alignment horizontal="center" vertical="center" textRotation="0" wrapText="1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alignment horizontal="center" vertical="center" textRotation="0" wrapText="1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alignment horizontal="center" vertical="center" textRotation="0" wrapText="1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alignment horizontal="center" vertical="center" textRotation="0" wrapText="1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alignment horizontal="center" vertical="center" textRotation="0" wrapText="1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alignment horizontal="center" vertical="center" textRotation="0" wrapText="1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 style="thick">
          <color theme="0"/>
        </bottom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178" formatCode="yyyy/mm/dd;@"/>
      <alignment horizontal="left" vertical="center" textRotation="0" wrapText="0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178" formatCode="yyyy/mm/dd;@"/>
      <alignment horizontal="left" vertical="center" textRotation="0" wrapText="0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178" formatCode="yyyy/mm/dd;@"/>
      <alignment horizontal="left" vertical="center" textRotation="0" wrapText="0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178" formatCode="yyyy/mm/dd;@"/>
      <alignment horizontal="left" vertical="center" textRotation="0" wrapText="0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Noto Sans KR"/>
        <family val="3"/>
        <charset val="129"/>
        <scheme val="none"/>
      </font>
      <numFmt numFmtId="178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/>
      </border>
    </dxf>
    <dxf>
      <font>
        <b val="0"/>
        <strike val="0"/>
        <outline val="0"/>
        <shadow val="0"/>
        <u val="none"/>
        <vertAlign val="baseline"/>
        <sz val="1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/>
      </border>
    </dxf>
    <dxf>
      <font>
        <b/>
        <strike val="0"/>
        <outline val="0"/>
        <shadow val="0"/>
        <u val="none"/>
        <vertAlign val="baseline"/>
        <sz val="1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strike val="0"/>
        <outline val="0"/>
        <shadow val="0"/>
        <u val="none"/>
        <vertAlign val="baseline"/>
        <sz val="1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/>
        <bottom/>
      </border>
      <protection locked="1" hidden="0"/>
    </dxf>
    <dxf>
      <font>
        <b val="0"/>
        <strike val="0"/>
        <outline val="0"/>
        <shadow val="0"/>
        <u val="none"/>
        <vertAlign val="baseline"/>
        <sz val="1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1" hidden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/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 style="thick">
          <color theme="0"/>
        </bottom>
      </border>
    </dxf>
    <dxf>
      <border outline="0">
        <top style="thick">
          <color theme="0"/>
        </top>
      </border>
    </dxf>
    <dxf>
      <border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/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 style="thick">
          <color theme="0"/>
        </bottom>
      </border>
    </dxf>
    <dxf>
      <border outline="0">
        <top style="thick">
          <color theme="0"/>
        </top>
      </border>
    </dxf>
    <dxf>
      <border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strike val="0"/>
        <outline val="0"/>
        <shadow val="0"/>
        <u val="none"/>
        <vertAlign val="baseline"/>
        <sz val="1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ck">
          <color theme="0"/>
        </bottom>
      </border>
    </dxf>
    <dxf>
      <font>
        <b val="0"/>
        <strike val="0"/>
        <outline val="0"/>
        <shadow val="0"/>
        <u val="none"/>
        <vertAlign val="baseline"/>
        <sz val="1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 style="thick">
          <color theme="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1" hidden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/>
        <bottom/>
        <vertical/>
        <horizontal/>
      </border>
      <protection locked="1" hidden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/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7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/>
        <bottom/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ck">
          <color theme="0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ill>
        <patternFill>
          <bgColor theme="0" tint="-4.9989318521683403E-2"/>
        </patternFill>
      </fill>
    </dxf>
    <dxf>
      <font>
        <b/>
        <i val="0"/>
        <color theme="0"/>
      </font>
      <fill>
        <patternFill>
          <bgColor theme="3" tint="0.24994659260841701"/>
        </patternFill>
      </fill>
    </dxf>
  </dxfs>
  <tableStyles count="1" defaultTableStyle="TableStyleMedium2" defaultPivotStyle="PivotStyleLight16">
    <tableStyle name="표 스타일 1" pivot="0" count="2" xr9:uid="{3BFE9363-B7D8-469B-9815-402A66DFC6CB}">
      <tableStyleElement type="headerRow" dxfId="209"/>
      <tableStyleElement type="secondRowStripe" dxfId="208"/>
    </tableStyle>
  </tableStyles>
  <colors>
    <mruColors>
      <color rgb="FFCDE1E1"/>
      <color rgb="FFCDD7F5"/>
      <color rgb="FFFAF0D2"/>
      <color rgb="FFDCE6D7"/>
      <color rgb="FFD7E1F0"/>
      <color rgb="FF02C8C8"/>
      <color rgb="FFFFFFFF"/>
      <color rgb="FFCDD7FA"/>
      <color rgb="FFC8D7FF"/>
      <color rgb="FFC8C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EC0D1D-125E-432F-A997-6CE8C5AC60A5}" name="개인" displayName="개인" ref="A1:W811" totalsRowShown="0" headerRowDxfId="145" dataDxfId="143" headerRowBorderDxfId="144">
  <autoFilter ref="A1:W811" xr:uid="{E7EC0D1D-125E-432F-A997-6CE8C5AC60A5}"/>
  <sortState xmlns:xlrd2="http://schemas.microsoft.com/office/spreadsheetml/2017/richdata2" ref="A2:W810">
    <sortCondition ref="H2:H810" customList="김성여대,우끼끼즈,미다스공대,캄브릿지,배병대,학버드,떡잎방범대,점문대,마종대,리재호종합대학,송균관대,CP,염석대,범진대,바스포드,캄성여대,파이스트,뽀그와트,철기중대,NSU,라클리,카사대,콩익대,JSA,무친대,갈리텍,보신대,MSG,철와대,미다스공대,아마대,츠나대,염지고,신사관학교,라저대,GOU,잉치원,러앙유치원,덕잎유치원,방구석유치원,프치원,두린이집,좋은유치원,만스터치유치원,미치원,엔치원,토즈란,YBC,DP,라이트클럽,점단기,철기구치소,TPZ,흑카데미,석사관,JSA,NASA,보신대,YB,늪지대,보카데미,거성대,벅치원,무통클리닉,할없녀,야인스대,케이대,방치클럽,철거반,무창클럽,섭이대,NASA,DNA,햇치원,씨나인,징치원,듀치원,복덕방,패션스타,노가다대,소림사,중만대,장독대,정선대,이노대,캄몬스타즈,에이전트학,MZN,삼대장,변단기,겁쟁이들의쉼터,미다스아카데미,거사대,엠비대,와플대,광수대,길냥즈,수술대,뉴캣슬,ASG,두림하이,뽀인구단,뉴델리,BGM,HM,노적단,무창클럽 2기,DM,신세계,더블비,드림즈,FA,휴면"/>
    <sortCondition ref="J2:J810" customList="수장"/>
    <sortCondition ref="E2:E810" customList="남자,여자"/>
    <sortCondition ref="G2:G810" customList="갓,킹,잭,조커,스페이드,0,1,2,3,4,5,6,7,8,유스,체크"/>
    <sortCondition ref="F2:F810" customList="테란,저그,프로토스,랜덤,체크"/>
  </sortState>
  <tableColumns count="23">
    <tableColumn id="1" xr3:uid="{D9A507AA-4E25-4039-B513-93767C285FB8}" name="이름" dataDxfId="142" dataCellStyle="백분율"/>
    <tableColumn id="2" xr3:uid="{8E6B1912-8207-4773-B018-106041A138F5}" name="SOOP ID" dataDxfId="141"/>
    <tableColumn id="3" xr3:uid="{200BBAB5-9D63-46BB-88AA-54634DC59BFE}" name="ELO ID" dataDxfId="140"/>
    <tableColumn id="14" xr3:uid="{E845E001-EF2E-4549-A141-DEE1CAC0F9C4}" name="생년월일" dataDxfId="139"/>
    <tableColumn id="4" xr3:uid="{65ED1BE2-ECB0-496D-AEDD-CEA85C9CE40E}" name="성별" dataDxfId="138"/>
    <tableColumn id="5" xr3:uid="{3B1D2DCE-DAAE-48EA-AA71-FC06F8FCB516}" name="종족" dataDxfId="137"/>
    <tableColumn id="6" xr3:uid="{E2076378-8C4E-4655-95C2-8F755FAC97A5}" name="티어" dataDxfId="136"/>
    <tableColumn id="7" xr3:uid="{C57C22F0-682C-4211-BF7C-C42D71E142F4}" name="소속" dataDxfId="135"/>
    <tableColumn id="338" xr3:uid="{4649D0DF-D395-4A59-AF0F-3E4F61240F2C}" name="연혁" dataDxfId="134"/>
    <tableColumn id="8" xr3:uid="{088566A8-59BE-4882-AE80-1666D145F5E2}" name="직책" dataDxfId="133"/>
    <tableColumn id="15" xr3:uid="{445A810B-68AC-472E-AFEB-AEFDE8ADBC13}" name="시작일" dataDxfId="132"/>
    <tableColumn id="16" xr3:uid="{80E3FFFE-21C2-4855-90D4-ADCFD8EFC655}" name="ELO 등록일" dataDxfId="131"/>
    <tableColumn id="564" xr3:uid="{71E6AEA2-744F-44AD-8F14-D2BA6B8D40A6}" name="티어표 등록일" dataDxfId="130"/>
    <tableColumn id="348" xr3:uid="{7B33CF19-A539-49C5-B6FD-5F15D8E2A1FD}" name="8티어 승급일" dataDxfId="129"/>
    <tableColumn id="339" xr3:uid="{9B19D81C-E365-4A58-B2F2-0CA628915DC7}" name="7티어 승급일" dataDxfId="128"/>
    <tableColumn id="340" xr3:uid="{6EEEABE1-7A9A-40AE-92AB-1FD4E1D633B5}" name="6티어 승급일" dataDxfId="127"/>
    <tableColumn id="341" xr3:uid="{D4C42421-2E4E-4E3A-8FCC-60BABF6FCCE6}" name="5티어 승급일" dataDxfId="126"/>
    <tableColumn id="342" xr3:uid="{7EE79095-BA3A-4C12-83AE-826E9545AFC4}" name="4티어 승급일" dataDxfId="125"/>
    <tableColumn id="343" xr3:uid="{49447074-260D-409C-B675-86104B1E05AE}" name="3티어 승급일" dataDxfId="124"/>
    <tableColumn id="344" xr3:uid="{E69C5FE6-3409-49BE-AF5E-BA9EBB6333B6}" name="2티어 승급일" dataDxfId="123"/>
    <tableColumn id="345" xr3:uid="{4B61B998-9428-432B-817D-767A71214F3A}" name="1티어 승급일" dataDxfId="122"/>
    <tableColumn id="346" xr3:uid="{DC223E18-6D9E-4322-A92D-FBDA858128A0}" name="0티어 승급일" dataDxfId="121"/>
    <tableColumn id="18" xr3:uid="{F4FCFB98-3B04-44D5-AC64-890811C3C944}" name=" " dataDxfId="120"/>
  </tableColumns>
  <tableStyleInfo name="표 스타일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2DC924D-7716-46AB-B47A-996579CEBE36}" name="시즌" displayName="시즌" ref="B1:C8" totalsRowShown="0" headerRowDxfId="119" dataDxfId="117" headerRowBorderDxfId="118" tableBorderDxfId="116" totalsRowBorderDxfId="115">
  <autoFilter ref="B1:C8" xr:uid="{32DC924D-7716-46AB-B47A-996579CEBE36}">
    <filterColumn colId="0" hiddenButton="1"/>
    <filterColumn colId="1" hiddenButton="1"/>
  </autoFilter>
  <tableColumns count="2">
    <tableColumn id="1" xr3:uid="{ABB77A79-9D0F-4E4A-8AF7-FA1229BCABBA}" name="시즌" dataDxfId="114"/>
    <tableColumn id="2" xr3:uid="{259AD8E0-3305-47D7-BE79-41A3F51B04FC}" name="날짜" dataDxfId="113"/>
  </tableColumns>
  <tableStyleInfo name="표 스타일 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DB2BC88-6594-4FFB-89D6-838B20ABB2B0}" name="크루" displayName="크루" ref="A1:G112" totalsRowShown="0" headerRowDxfId="112" dataDxfId="110" headerRowBorderDxfId="111" tableBorderDxfId="109" totalsRowBorderDxfId="108">
  <autoFilter ref="A1:G112" xr:uid="{7DB2BC88-6594-4FFB-89D6-838B20ABB2B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sortState xmlns:xlrd2="http://schemas.microsoft.com/office/spreadsheetml/2017/richdata2" ref="A2:G105">
    <sortCondition ref="C1:C105"/>
  </sortState>
  <tableColumns count="7">
    <tableColumn id="1" xr3:uid="{0C94B476-82B5-4C9A-A124-9E578DE2E2D3}" name="크루" dataDxfId="107"/>
    <tableColumn id="2" xr3:uid="{BE5E8516-49E7-46FF-B195-5329528A2963}" name="설립자" dataDxfId="106"/>
    <tableColumn id="3" xr3:uid="{40C82832-4724-40BF-9E39-C7EFF6188327}" name="창단일" dataDxfId="105"/>
    <tableColumn id="8" xr3:uid="{1CA62DE3-7CC0-48D8-B5C6-258C280D7FB4}" name="해체일" dataDxfId="104"/>
    <tableColumn id="4" xr3:uid="{ACBD1031-EDFB-4537-9F68-D0E78D0192EA}" name="기간" dataDxfId="103">
      <calculatedColumnFormula>_xlfn.LET(
  _xlpm.SROW, 크루[[#This Row],[창단일]],
  _xlpm.EROW, IF(크루[[#This Row],[해체일]]="", 설정!$A$2, 크루[[#This Row],[해체일]]),
  _xlpm.DURA, IF(_xlpm.SROW="", "", MAX(_xlpm.EROW - _xlpm.SROW + 1, 0)),
  _xlpm.DURA
)</calculatedColumnFormula>
    </tableColumn>
    <tableColumn id="6" xr3:uid="{A770771B-3206-46BB-8EEF-A7FF09403D27}" name="비고" dataDxfId="102"/>
    <tableColumn id="5" xr3:uid="{FDB84A95-E336-4DFE-9C0A-3B631B82F08D}" name="우승" dataDxfId="101"/>
  </tableColumns>
  <tableStyleInfo name="표 스타일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996F85-3B31-4344-BE62-9671D6203CE8}" name="멤버" displayName="멤버" ref="A1:K47" headerRowDxfId="100" dataDxfId="98" totalsRowDxfId="97" headerRowBorderDxfId="99">
  <autoFilter ref="A1:K47" xr:uid="{45996F85-3B31-4344-BE62-9671D6203CE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sortState xmlns:xlrd2="http://schemas.microsoft.com/office/spreadsheetml/2017/richdata2" ref="A2:K35">
    <sortCondition ref="H1:H35"/>
  </sortState>
  <tableColumns count="11">
    <tableColumn id="1" xr3:uid="{27419884-B519-4D0D-9ACC-CCFB923974D4}" name="이름" dataDxfId="96" totalsRowDxfId="95"/>
    <tableColumn id="10" xr3:uid="{769B9348-9FDC-4565-85FA-B993C759A7C0}" name="SOOP ID" dataDxfId="94" totalsRowDxfId="93"/>
    <tableColumn id="16" xr3:uid="{26BCF003-B7BC-4588-82FF-3FFB76AA8292}" name="생년월일" dataDxfId="92" totalsRowDxfId="91"/>
    <tableColumn id="7" xr3:uid="{64C15BFA-7AAE-4533-8219-159995022CF0}" name="성별" dataDxfId="90" totalsRowDxfId="89"/>
    <tableColumn id="17" xr3:uid="{E244A9F3-52D6-4C3A-8392-B84CA5AD3DEF}" name="종족" dataDxfId="88" totalsRowDxfId="87"/>
    <tableColumn id="19" xr3:uid="{6E05558E-CED9-42BA-8632-3BB7855E102D}" name="입단 티어" dataDxfId="86" totalsRowDxfId="85"/>
    <tableColumn id="6" xr3:uid="{54F02973-0FED-4A9E-B868-CCE966AD8941}" name="직책" dataDxfId="84" totalsRowDxfId="83"/>
    <tableColumn id="2" xr3:uid="{52323E5A-030A-4F9D-8D66-4184204DC070}" name="입단일" dataDxfId="82" totalsRowDxfId="81"/>
    <tableColumn id="3" xr3:uid="{31FC372E-7F5A-4EBA-985F-644D3E254E33}" name="퇴단일" dataDxfId="80" totalsRowDxfId="79"/>
    <tableColumn id="8" xr3:uid="{50C84B56-2191-45BE-B092-E1702733A144}" name="활동 기간" dataDxfId="78" totalsRowDxfId="77">
      <calculatedColumnFormula>_xlfn.LET(
  _xlpm.SROW, 멤버[[#This Row],[입단일]],
  _xlpm.EROW, IF(멤버[[#This Row],[퇴단일]]="", 설정!$A$2, 멤버[[#This Row],[퇴단일]]),
  _xlpm.DURA, IF(_xlpm.SROW="", "", MAX(_xlpm.EROW - _xlpm.SROW + 1, 0)),
  _xlpm.DURA
)</calculatedColumnFormula>
    </tableColumn>
    <tableColumn id="9" xr3:uid="{7DD12F71-3973-418C-9C17-2F44DF60417B}" name="활동 시즌" dataDxfId="76" totalsRowDxfId="75">
      <calculatedColumnFormula array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calculatedColumnFormula>
    </tableColumn>
  </tableColumns>
  <tableStyleInfo name="표 스타일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9343C35-EFB2-447A-9BD9-9EE7AB79BC35}" name="전적" displayName="전적" ref="A1:AE178" headerRowDxfId="207" dataDxfId="205" totalsRowDxfId="203" headerRowBorderDxfId="206" tableBorderDxfId="204">
  <autoFilter ref="A1:AE178" xr:uid="{29343C35-EFB2-447A-9BD9-9EE7AB79BC35}"/>
  <sortState xmlns:xlrd2="http://schemas.microsoft.com/office/spreadsheetml/2017/richdata2" ref="A2:AE114">
    <sortCondition ref="A1:A114"/>
  </sortState>
  <tableColumns count="31">
    <tableColumn id="1" xr3:uid="{A53195FA-C02C-49D6-A27B-70B66438D0D6}" name="날짜" totalsRowLabel="요약" dataDxfId="202"/>
    <tableColumn id="28" xr3:uid="{3C0824DD-B264-491A-ADD4-22205E7F63A1}" name="시즌" dataDxfId="201"/>
    <tableColumn id="2" xr3:uid="{3835BE06-D377-4DE9-AC44-80075B8312F0}" name="상대팀" dataDxfId="200" totalsRowDxfId="199"/>
    <tableColumn id="18" xr3:uid="{F1A978E7-8870-4691-910C-B3BFFA7DA232}" name="형식" dataDxfId="198" totalsRowDxfId="197"/>
    <tableColumn id="3" xr3:uid="{3FECBBB4-D248-4B6A-A14F-63414A967CF2}" name="방식" dataDxfId="196" totalsRowDxfId="195"/>
    <tableColumn id="19" xr3:uid="{4387E276-7616-4B3E-B456-CA92B42B76E3}" name="펀딩" dataDxfId="194" totalsRowDxfId="193"/>
    <tableColumn id="22" xr3:uid="{831D6174-B883-47CD-BAE4-544BDE00BBC9}" name="도전미션" dataDxfId="192" totalsRowDxfId="191"/>
    <tableColumn id="20" xr3:uid="{83523163-9032-4E99-88CC-E7DFCA44CAB6}" name="지원금" dataDxfId="190" totalsRowDxfId="189"/>
    <tableColumn id="27" xr3:uid="{B8909283-308A-41BD-8417-8BB3D855D9E7}" name="사비(콩)" dataDxfId="188" totalsRowDxfId="187"/>
    <tableColumn id="21" xr3:uid="{3F938236-B778-4B1E-96C3-1E62223E078C}" name="사비(풍)" dataDxfId="186" totalsRowDxfId="185"/>
    <tableColumn id="4" xr3:uid="{3FB2F66A-70CF-475F-8A78-CD1AD7F491BD}" name="1R" dataDxfId="184" totalsRowDxfId="183"/>
    <tableColumn id="5" xr3:uid="{4BC78CE5-3C28-4A36-A3BE-CE3DAB955953}" name="2R" dataDxfId="182" totalsRowDxfId="181"/>
    <tableColumn id="6" xr3:uid="{9CB15DCA-A11E-48F0-BD13-C9291D6B3D95}" name="3R" dataDxfId="180" totalsRowDxfId="179"/>
    <tableColumn id="7" xr3:uid="{D1F91719-6169-400F-AA2D-4B2FA1DD9817}" name="4R" dataDxfId="178" totalsRowDxfId="177"/>
    <tableColumn id="8" xr3:uid="{DB0C950C-0B14-4D7E-AF42-56354FC195BE}" name="5R" dataDxfId="176" totalsRowDxfId="175"/>
    <tableColumn id="9" xr3:uid="{3656B22F-5ACF-4346-A0A8-6E826117776A}" name="6R" dataDxfId="174" totalsRowDxfId="173"/>
    <tableColumn id="10" xr3:uid="{98FF3EE2-4568-4C8A-9B84-ECD7B8B7F956}" name="7R" dataDxfId="172" totalsRowDxfId="171"/>
    <tableColumn id="11" xr3:uid="{3A1B9488-1A5B-4EA0-A902-93FC5693A335}" name="8R" dataDxfId="170" totalsRowDxfId="169"/>
    <tableColumn id="12" xr3:uid="{A1999EBF-BBD4-4B34-AC40-21CFCBEC30D4}" name="9R" dataDxfId="168" totalsRowDxfId="167"/>
    <tableColumn id="13" xr3:uid="{D271FED5-A2FB-4702-8D43-821D074FC4B3}" name="10R" dataDxfId="166" totalsRowDxfId="165"/>
    <tableColumn id="25" xr3:uid="{EA4663E5-1EDA-4DF7-B06D-07D1783F9BDD}" name="11R" dataDxfId="164" totalsRowDxfId="163"/>
    <tableColumn id="24" xr3:uid="{FB94806F-F4FA-43CD-AADD-CFBD03966F7A}" name="12R" dataDxfId="162" totalsRowDxfId="161"/>
    <tableColumn id="23" xr3:uid="{18947BC9-2D43-40C4-B1D6-CBDBC2915438}" name="13R" dataDxfId="160" totalsRowDxfId="159"/>
    <tableColumn id="30" xr3:uid="{D59CBF2F-4590-4CA1-ADAA-3C4AA929897E}" name="14R" dataDxfId="158" totalsRowDxfId="157"/>
    <tableColumn id="31" xr3:uid="{F967947F-8792-472B-B354-C5B76BFB145E}" name="15R" dataDxfId="156" totalsRowDxfId="155"/>
    <tableColumn id="26" xr3:uid="{BF15C34F-C5B1-4A4F-99C2-9EEFAB6D7196}" name="16R" dataDxfId="154" totalsRowDxfId="153"/>
    <tableColumn id="14" xr3:uid="{581D1006-80CF-437A-9D9A-CC2FFE8CE612}" name="슈에" dataDxfId="152" totalsRowDxfId="151"/>
    <tableColumn id="29" xr3:uid="{E8762E3D-600E-4C04-96D3-3D68B6873B13}" name="번외" dataDxfId="150" totalsRowDxfId="149"/>
    <tableColumn id="17" xr3:uid="{856FCF67-24BE-4288-B17E-9251DA7C5F6A}" name="득실" dataDxfId="148" dataCellStyle="쉼표 [0]">
      <calculatedColumnFormula>_xlfn.LET(
  _xlpm.RNGE, 전적[[#This Row],[1R]:[슈에]],
  _xlpm.CWNT, COUNTIF(_xlpm.RNGE, "* 승*"),
  _xlpm.CLNT, COUNTIF(_xlpm.RNGE, "* 패*"),
  _xlpm.RSLT, IF(_xlpm.CWNT + _xlpm.CLNT = 0, "", _xlpm.CWNT &amp; ":" &amp; _xlpm.CLNT),
  _xlpm.RSLT
)</calculatedColumnFormula>
    </tableColumn>
    <tableColumn id="16" xr3:uid="{A4F2001C-6044-44E3-88B3-93FBCF891129}" name="세트 결과" dataDxfId="147" dataCellStyle="쉼표 [0]">
      <calculatedColumnFormula array="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calculatedColumnFormula>
    </tableColumn>
    <tableColumn id="15" xr3:uid="{124C2D57-59CA-49EE-B2D7-E40D378CE4F1}" name="최종 결과" totalsRowFunction="count" dataDxfId="146" dataCellStyle="쉼표 [0]">
      <calculatedColumnFormula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calculatedColumnFormula>
    </tableColumn>
  </tableColumns>
  <tableStyleInfo name="표 스타일 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350C4-4F18-4BFB-B0FC-1F1B81CE3DF6}" name="이부" displayName="이부" ref="A1:BO78" totalsRowShown="0" headerRowDxfId="74" dataDxfId="72" headerRowBorderDxfId="73" tableBorderDxfId="71" totalsRowBorderDxfId="70">
  <autoFilter ref="A1:BO78" xr:uid="{E08350C4-4F18-4BFB-B0FC-1F1B81CE3DF6}"/>
  <sortState xmlns:xlrd2="http://schemas.microsoft.com/office/spreadsheetml/2017/richdata2" ref="A2:T31">
    <sortCondition ref="A1:A31"/>
  </sortState>
  <tableColumns count="67">
    <tableColumn id="1" xr3:uid="{2E68DED9-F265-48B4-A259-A233BBFC0DD3}" name="날짜" dataDxfId="69"/>
    <tableColumn id="2" xr3:uid="{FF0003C2-CCC3-4833-86DD-E27EE3EF1623}" name="종목" dataDxfId="68"/>
    <tableColumn id="3" xr3:uid="{44C55436-A8E2-40F2-9F05-B6CE4E29091A}" name="펀딩 총액" dataDxfId="67"/>
    <tableColumn id="4" xr3:uid="{701F800F-6EB7-453B-9725-DA15C711D2E2}" name="승리팀 상금" dataDxfId="66"/>
    <tableColumn id="5" xr3:uid="{B51EA6AF-97C1-4D57-AC99-2C0A29791DCC}" name="2위팀 상금" dataDxfId="65"/>
    <tableColumn id="6" xr3:uid="{F3752822-C120-4BEB-9FCF-185BAE60B8AC}" name="3위팀 상금" dataDxfId="64"/>
    <tableColumn id="7" xr3:uid="{D41667D0-CE7D-4BA2-947B-B8BC6238F579}" name="4위팀 상금" dataDxfId="63"/>
    <tableColumn id="13" xr3:uid="{45925924-7330-418B-AFDD-8D6CB5C21C2E}" name="5위팀 상금" dataDxfId="62"/>
    <tableColumn id="14" xr3:uid="{EA1430AA-892F-4616-8716-C9561DB5ABE9}" name="6위팀 상금" dataDxfId="61"/>
    <tableColumn id="15" xr3:uid="{9873AAC0-C550-4FBA-ADC3-CB205C9B2E6E}" name="7위팀 상금" dataDxfId="60"/>
    <tableColumn id="16" xr3:uid="{416B9ABB-3E6C-4943-BF4A-7E3CE5BC34D2}" name="8위팀 상금" dataDxfId="59"/>
    <tableColumn id="21" xr3:uid="{F4CAEA88-C8E2-45B0-A96A-9113BAC80E27}" name="지원금" dataDxfId="58"/>
    <tableColumn id="8" xr3:uid="{51E08ED5-A642-4F31-AACD-73EB623AC04A}" name="승리팀" dataDxfId="57"/>
    <tableColumn id="9" xr3:uid="{A3A6A570-407F-4008-8EA5-F66615CEC742}" name="2위팀" dataDxfId="56"/>
    <tableColumn id="10" xr3:uid="{4BC61FE2-D258-440F-BC88-B5AE49B38A64}" name="3위팀" dataDxfId="55"/>
    <tableColumn id="11" xr3:uid="{79015D6A-3B0F-402D-BCC3-630534D6BE78}" name="4위팀" dataDxfId="54"/>
    <tableColumn id="17" xr3:uid="{CE17C555-0190-4E24-B5BA-689A7076A65E}" name="5위팀" dataDxfId="53"/>
    <tableColumn id="18" xr3:uid="{4EA86BFB-027F-4FE9-B6FA-6F6C904B86DD}" name="6위팀" dataDxfId="52"/>
    <tableColumn id="19" xr3:uid="{EDC9D18A-9005-439A-BC14-6F7B7C0B87DC}" name="7위팀" dataDxfId="51"/>
    <tableColumn id="20" xr3:uid="{F36003F5-40BF-46B1-AECD-5925464E599E}" name="8위팀" dataDxfId="50"/>
    <tableColumn id="52" xr3:uid="{04F0607C-6101-4E05-B6A3-998154C785B4}" name=" " dataDxfId="49"/>
    <tableColumn id="12" xr3:uid="{DF9F74BB-A45F-43D3-8AD6-2F03FCA2123F}" name="김윤환" dataDxfId="48"/>
    <tableColumn id="22" xr3:uid="{7EDB6AE4-24B6-4E33-A4C8-20A123B1F329}" name="이경민" dataDxfId="47"/>
    <tableColumn id="23" xr3:uid="{A7B9CB83-2339-4721-8916-44D15727656B}" name="디임" dataDxfId="46"/>
    <tableColumn id="24" xr3:uid="{A262BD98-4267-47EC-B9D1-E04093B432CA}" name="졈니" dataDxfId="45"/>
    <tableColumn id="25" xr3:uid="{829028AF-F4AA-4537-808A-2EA1E375844D}" name="앵지" dataDxfId="44"/>
    <tableColumn id="26" xr3:uid="{6C8C7CF4-D957-4BDF-B8D4-65163F06AD46}" name="토마토" dataDxfId="43"/>
    <tableColumn id="27" xr3:uid="{F55FA51D-B16A-42E4-A6E6-3D58AEBD9F4D}" name="임조이" dataDxfId="42"/>
    <tableColumn id="28" xr3:uid="{0D484B30-182A-4654-AB81-8F9E60EBEA9E}" name="킹지" dataDxfId="41"/>
    <tableColumn id="29" xr3:uid="{415C7A94-DB4C-4221-881D-841A8EC925F0}" name="효짱" dataDxfId="40"/>
    <tableColumn id="30" xr3:uid="{87296BA7-DCAC-446A-BF84-03AD485AF89A}" name="한쪼니" dataDxfId="39"/>
    <tableColumn id="31" xr3:uid="{F1822C60-B412-4E05-8D1D-E118428D3AA8}" name="몽군" dataDxfId="38"/>
    <tableColumn id="32" xr3:uid="{9756018C-C399-450E-B76B-CDC5286472EF}" name="모리" dataDxfId="37"/>
    <tableColumn id="33" xr3:uid="{363BE5BC-B3D8-4620-A556-E67C88BE9728}" name="치리" dataDxfId="36"/>
    <tableColumn id="34" xr3:uid="{CEDE0C72-0E8B-4108-ABC1-F005D58A041E}" name="강덕구" dataDxfId="35"/>
    <tableColumn id="35" xr3:uid="{3A028923-907F-4596-B88C-8D6CE8EC9EF8}" name="수입뿌드" dataDxfId="34"/>
    <tableColumn id="36" xr3:uid="{5EA2D113-AA93-4060-9C33-58719D4F0428}" name="박준오" dataDxfId="33"/>
    <tableColumn id="37" xr3:uid="{9FE0C885-1DA8-418E-87D2-0486EB16118B}" name="정윤종" dataDxfId="32"/>
    <tableColumn id="38" xr3:uid="{A7755E3F-EF80-4006-9A3C-0D1752D47C52}" name="세나" dataDxfId="31"/>
    <tableColumn id="40" xr3:uid="{C7690715-552A-47DA-B99B-68C0F9CEF59E}" name="송혜림" dataDxfId="30"/>
    <tableColumn id="45" xr3:uid="{08B9814C-BC95-4A9C-BB0B-7968E017D9A9}" name="진땅콩" dataDxfId="29"/>
    <tableColumn id="39" xr3:uid="{BB7BFE4C-D4B7-4AD5-B221-0133766B397A}" name="다예" dataDxfId="28"/>
    <tableColumn id="42" xr3:uid="{34751813-170C-4E5B-B759-5A0798278916}" name="막내현진" dataDxfId="27"/>
    <tableColumn id="43" xr3:uid="{D1432681-4996-4C3B-B20B-25330599B154}" name="지동원" dataDxfId="26"/>
    <tableColumn id="44" xr3:uid="{ED98A6BD-6D3E-4BA1-8573-9DE4D4EE448D}" name="황병영" dataDxfId="25"/>
    <tableColumn id="46" xr3:uid="{F6A53FFB-7300-48C9-A4EC-15150D60ABE2}" name="두디" dataDxfId="24"/>
    <tableColumn id="47" xr3:uid="{12FC8329-758B-45AC-8B50-323D49E347BA}" name="조일장" dataDxfId="23"/>
    <tableColumn id="48" xr3:uid="{CF5018EE-FB36-4985-813C-15C888821E25}" name="주하랑" dataDxfId="22"/>
    <tableColumn id="49" xr3:uid="{08EE2CE6-29DE-463F-B9B3-DE7C508AE25F}" name="햇살" dataDxfId="21"/>
    <tableColumn id="50" xr3:uid="{2E502E28-5CE8-4403-81B7-91806BC9C4CA}" name="소주양" dataDxfId="20"/>
    <tableColumn id="51" xr3:uid="{EF1E7D86-A9CF-4A65-918E-DE382A8DC4FB}" name="파도튜브" dataDxfId="19"/>
    <tableColumn id="54" xr3:uid="{31B75404-65D0-49AE-B6B9-4D0EB980FF1F}" name="박쭈이" dataDxfId="18"/>
    <tableColumn id="55" xr3:uid="{23530A0B-616B-41E1-B336-B6BD850BB21B}" name="연또" dataDxfId="17"/>
    <tableColumn id="56" xr3:uid="{039EB12C-D3D0-47C4-9458-635171D06CA2}" name="정유랭" dataDxfId="16"/>
    <tableColumn id="41" xr3:uid="{B0CD7639-08B3-425F-B15D-A8FAF7FC6FAB}" name="먼진" dataDxfId="15"/>
    <tableColumn id="57" xr3:uid="{B382604B-EF2B-440B-967B-5B52DEE75742}" name="배성흠" dataDxfId="14"/>
    <tableColumn id="58" xr3:uid="{6650FDFD-81E8-4B0C-AF46-2DE274092BAB}" name="박수범" dataDxfId="13"/>
    <tableColumn id="59" xr3:uid="{EDC117C0-E345-431D-A46F-8D409EDA468A}" name="비타밍" dataDxfId="12"/>
    <tableColumn id="60" xr3:uid="{22DA6017-17AC-452D-AA54-8E52AC15D4BD}" name="아리송이" dataDxfId="11"/>
    <tableColumn id="61" xr3:uid="{5C04E8BC-46D1-4168-907F-D6EF5F1F1EC3}" name="지두두" dataDxfId="10"/>
    <tableColumn id="62" xr3:uid="{2BD806DE-DCC8-4C31-8CAA-948E778D7F00}" name="찌킹" dataDxfId="9"/>
    <tableColumn id="63" xr3:uid="{AB583814-E7CF-4113-8CC9-F858545CF4BC}" name="사테" dataDxfId="8"/>
    <tableColumn id="64" xr3:uid="{BA974D38-83A1-4232-B417-F9A5D5BFE14A}" name="낭니" dataDxfId="7"/>
    <tableColumn id="65" xr3:uid="{45C16982-FB0E-4730-9F23-C66FD5EE130A}" name="변현제" dataDxfId="6"/>
    <tableColumn id="66" xr3:uid="{BF7BF52B-A3E5-43FF-AD44-16B27CE08E1C}" name="김민철" dataDxfId="5"/>
    <tableColumn id="67" xr3:uid="{5CD386F9-AA35-4D2E-8BB5-4838178BA5CB}" name="남덕선" dataDxfId="4"/>
    <tableColumn id="53" xr3:uid="{2A9243FC-A330-4F88-AAB1-36AC02B236A2}" name="  " dataDxfId="3"/>
  </tableColumns>
  <tableStyleInfo name="표 스타일 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A361A-30E2-4D14-BBDA-94B063BA7ED5}">
  <sheetPr codeName="Sheet03"/>
  <dimension ref="A1:X1025"/>
  <sheetViews>
    <sheetView tabSelected="1" topLeftCell="A796" zoomScale="68" zoomScaleNormal="70" workbookViewId="0">
      <selection activeCell="L816" sqref="L816"/>
    </sheetView>
  </sheetViews>
  <sheetFormatPr defaultColWidth="15.69921875" defaultRowHeight="24" customHeight="1" thickTop="1" thickBottom="1" x14ac:dyDescent="0.45"/>
  <cols>
    <col min="1" max="1" width="15.69921875" style="40" customWidth="1"/>
    <col min="2" max="3" width="15.69921875" style="3" customWidth="1"/>
    <col min="4" max="4" width="15.69921875" style="23" customWidth="1"/>
    <col min="5" max="10" width="15.69921875" style="3" customWidth="1"/>
    <col min="11" max="22" width="15.69921875" style="23" customWidth="1"/>
    <col min="23" max="183" width="15.69921875" style="3" customWidth="1"/>
    <col min="184" max="188" width="15.69921875" style="3"/>
    <col min="189" max="189" width="15.69921875" style="3" customWidth="1"/>
    <col min="190" max="16384" width="15.69921875" style="3"/>
  </cols>
  <sheetData>
    <row r="1" spans="1:24" ht="24" customHeight="1" thickTop="1" thickBot="1" x14ac:dyDescent="0.45">
      <c r="A1" s="36" t="s">
        <v>68</v>
      </c>
      <c r="B1" s="37" t="s">
        <v>154</v>
      </c>
      <c r="C1" s="37" t="s">
        <v>155</v>
      </c>
      <c r="D1" s="38" t="s">
        <v>70</v>
      </c>
      <c r="E1" s="37" t="s">
        <v>156</v>
      </c>
      <c r="F1" s="37" t="s">
        <v>157</v>
      </c>
      <c r="G1" s="37" t="s">
        <v>1007</v>
      </c>
      <c r="H1" s="37" t="s">
        <v>1376</v>
      </c>
      <c r="I1" s="37" t="s">
        <v>1078</v>
      </c>
      <c r="J1" s="37" t="s">
        <v>1375</v>
      </c>
      <c r="K1" s="38" t="s">
        <v>71</v>
      </c>
      <c r="L1" s="38" t="s">
        <v>1242</v>
      </c>
      <c r="M1" s="38" t="s">
        <v>1369</v>
      </c>
      <c r="N1" s="38" t="s">
        <v>1252</v>
      </c>
      <c r="O1" s="38" t="s">
        <v>1253</v>
      </c>
      <c r="P1" s="38" t="s">
        <v>1254</v>
      </c>
      <c r="Q1" s="38" t="s">
        <v>1255</v>
      </c>
      <c r="R1" s="38" t="s">
        <v>1256</v>
      </c>
      <c r="S1" s="38" t="s">
        <v>1257</v>
      </c>
      <c r="T1" s="38" t="s">
        <v>1258</v>
      </c>
      <c r="U1" s="38" t="s">
        <v>1259</v>
      </c>
      <c r="V1" s="38" t="s">
        <v>1241</v>
      </c>
      <c r="W1" s="37" t="s">
        <v>73</v>
      </c>
      <c r="X1" s="2" t="s">
        <v>1381</v>
      </c>
    </row>
    <row r="2" spans="1:24" ht="24" customHeight="1" thickTop="1" thickBot="1" x14ac:dyDescent="0.45">
      <c r="A2" s="71" t="s">
        <v>2101</v>
      </c>
      <c r="B2" s="42" t="s">
        <v>2102</v>
      </c>
      <c r="C2" s="42">
        <v>3</v>
      </c>
      <c r="D2" s="72">
        <v>33770</v>
      </c>
      <c r="E2" s="42" t="s">
        <v>43</v>
      </c>
      <c r="F2" s="42" t="s">
        <v>1239</v>
      </c>
      <c r="G2" s="42" t="s">
        <v>1264</v>
      </c>
      <c r="H2" s="42" t="s">
        <v>29</v>
      </c>
      <c r="I2" s="42"/>
      <c r="J2" s="4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14"/>
    </row>
    <row r="3" spans="1:24" ht="24" customHeight="1" thickTop="1" thickBot="1" x14ac:dyDescent="0.45">
      <c r="A3" s="40" t="s">
        <v>2103</v>
      </c>
      <c r="B3" s="3" t="s">
        <v>2104</v>
      </c>
      <c r="C3" s="3">
        <v>54</v>
      </c>
      <c r="D3" s="23">
        <v>32710</v>
      </c>
      <c r="E3" s="3" t="s">
        <v>43</v>
      </c>
      <c r="F3" s="3" t="s">
        <v>1239</v>
      </c>
      <c r="G3" s="3" t="s">
        <v>1264</v>
      </c>
      <c r="H3" s="3" t="s">
        <v>29</v>
      </c>
    </row>
    <row r="4" spans="1:24" ht="24" customHeight="1" thickTop="1" thickBot="1" x14ac:dyDescent="0.45">
      <c r="A4" s="40" t="s">
        <v>2105</v>
      </c>
      <c r="B4" s="3" t="s">
        <v>2106</v>
      </c>
      <c r="C4" s="3">
        <v>2</v>
      </c>
      <c r="D4" s="23">
        <v>34534</v>
      </c>
      <c r="E4" s="3" t="s">
        <v>43</v>
      </c>
      <c r="F4" s="3" t="s">
        <v>6</v>
      </c>
      <c r="G4" s="3" t="s">
        <v>1264</v>
      </c>
      <c r="H4" s="3" t="s">
        <v>29</v>
      </c>
    </row>
    <row r="5" spans="1:24" ht="24" customHeight="1" thickTop="1" thickBot="1" x14ac:dyDescent="0.45">
      <c r="A5" s="40" t="s">
        <v>2107</v>
      </c>
      <c r="B5" s="3" t="s">
        <v>2108</v>
      </c>
      <c r="C5" s="3">
        <v>33</v>
      </c>
      <c r="D5" s="23">
        <v>33717</v>
      </c>
      <c r="E5" s="3" t="s">
        <v>43</v>
      </c>
      <c r="F5" s="3" t="s">
        <v>6</v>
      </c>
      <c r="G5" s="3" t="s">
        <v>1264</v>
      </c>
      <c r="H5" s="3" t="s">
        <v>29</v>
      </c>
    </row>
    <row r="6" spans="1:24" ht="24" customHeight="1" thickTop="1" thickBot="1" x14ac:dyDescent="0.45">
      <c r="A6" s="40" t="s">
        <v>2109</v>
      </c>
      <c r="B6" s="3" t="s">
        <v>2110</v>
      </c>
      <c r="C6" s="3">
        <v>155</v>
      </c>
      <c r="D6" s="23">
        <v>34843</v>
      </c>
      <c r="E6" s="3" t="s">
        <v>43</v>
      </c>
      <c r="F6" s="3" t="s">
        <v>1239</v>
      </c>
      <c r="G6" s="3" t="s">
        <v>1262</v>
      </c>
      <c r="H6" s="3" t="s">
        <v>29</v>
      </c>
    </row>
    <row r="7" spans="1:24" ht="24" customHeight="1" thickTop="1" thickBot="1" x14ac:dyDescent="0.45">
      <c r="A7" s="40" t="s">
        <v>2111</v>
      </c>
      <c r="B7" s="3" t="s">
        <v>2112</v>
      </c>
      <c r="C7" s="3">
        <v>59</v>
      </c>
      <c r="D7" s="23">
        <v>34361</v>
      </c>
      <c r="E7" s="3" t="s">
        <v>43</v>
      </c>
      <c r="F7" s="3" t="s">
        <v>6</v>
      </c>
      <c r="G7" s="3" t="s">
        <v>1262</v>
      </c>
      <c r="H7" s="3" t="s">
        <v>3748</v>
      </c>
    </row>
    <row r="8" spans="1:24" ht="24" customHeight="1" thickTop="1" thickBot="1" x14ac:dyDescent="0.45">
      <c r="A8" s="40" t="s">
        <v>2113</v>
      </c>
      <c r="B8" s="3" t="s">
        <v>2114</v>
      </c>
      <c r="C8" s="3">
        <v>147</v>
      </c>
      <c r="D8" s="23">
        <v>32907</v>
      </c>
      <c r="E8" s="3" t="s">
        <v>43</v>
      </c>
      <c r="F8" s="3" t="s">
        <v>1238</v>
      </c>
      <c r="G8" s="3" t="s">
        <v>1261</v>
      </c>
      <c r="H8" s="3" t="s">
        <v>29</v>
      </c>
    </row>
    <row r="9" spans="1:24" ht="24" customHeight="1" thickTop="1" thickBot="1" x14ac:dyDescent="0.45">
      <c r="A9" s="40" t="s">
        <v>46</v>
      </c>
      <c r="B9" s="3" t="s">
        <v>2115</v>
      </c>
      <c r="C9" s="3">
        <v>6194</v>
      </c>
      <c r="D9" s="23">
        <v>35042</v>
      </c>
      <c r="E9" s="3" t="s">
        <v>43</v>
      </c>
      <c r="F9" s="3" t="s">
        <v>1238</v>
      </c>
      <c r="G9" s="3">
        <v>3</v>
      </c>
      <c r="H9" s="3" t="s">
        <v>29</v>
      </c>
      <c r="I9" s="3" t="s">
        <v>38</v>
      </c>
    </row>
    <row r="10" spans="1:24" ht="24" customHeight="1" thickTop="1" thickBot="1" x14ac:dyDescent="0.45">
      <c r="A10" s="40" t="s">
        <v>2116</v>
      </c>
      <c r="B10" s="3" t="s">
        <v>2117</v>
      </c>
      <c r="C10" s="3">
        <v>325</v>
      </c>
      <c r="D10" s="23">
        <v>35775</v>
      </c>
      <c r="E10" s="3" t="s">
        <v>1</v>
      </c>
      <c r="F10" s="3" t="s">
        <v>6</v>
      </c>
      <c r="G10" s="3">
        <v>2</v>
      </c>
      <c r="H10" s="3" t="s">
        <v>29</v>
      </c>
      <c r="K10" s="23" t="s">
        <v>1141</v>
      </c>
      <c r="L10" s="23">
        <v>44088</v>
      </c>
      <c r="M10" s="23">
        <v>44268</v>
      </c>
      <c r="N10" s="23">
        <v>44387</v>
      </c>
      <c r="S10" s="23">
        <v>44387</v>
      </c>
      <c r="T10" s="23">
        <v>44495</v>
      </c>
      <c r="U10" s="23">
        <v>45163</v>
      </c>
    </row>
    <row r="11" spans="1:24" ht="24" customHeight="1" thickTop="1" thickBot="1" x14ac:dyDescent="0.45">
      <c r="A11" s="40" t="s">
        <v>2118</v>
      </c>
      <c r="B11" s="3" t="s">
        <v>2119</v>
      </c>
      <c r="C11" s="3">
        <v>431</v>
      </c>
      <c r="D11" s="23">
        <v>34815</v>
      </c>
      <c r="E11" s="3" t="s">
        <v>1</v>
      </c>
      <c r="F11" s="3" t="s">
        <v>1239</v>
      </c>
      <c r="G11" s="3">
        <v>3</v>
      </c>
      <c r="H11" s="3" t="s">
        <v>29</v>
      </c>
      <c r="K11" s="23" t="s">
        <v>2120</v>
      </c>
      <c r="L11" s="23">
        <v>44311</v>
      </c>
      <c r="M11" s="23">
        <v>44514</v>
      </c>
      <c r="N11" s="23">
        <v>44387</v>
      </c>
      <c r="R11" s="23">
        <v>45650</v>
      </c>
      <c r="S11" s="23">
        <v>44500</v>
      </c>
      <c r="T11" s="23">
        <v>44387</v>
      </c>
    </row>
    <row r="12" spans="1:24" ht="24" customHeight="1" thickTop="1" thickBot="1" x14ac:dyDescent="0.45">
      <c r="A12" s="40" t="s">
        <v>2121</v>
      </c>
      <c r="B12" s="3" t="s">
        <v>2122</v>
      </c>
      <c r="C12" s="3">
        <v>482</v>
      </c>
      <c r="D12" s="23">
        <v>35317</v>
      </c>
      <c r="E12" s="3" t="s">
        <v>1</v>
      </c>
      <c r="F12" s="3" t="s">
        <v>6</v>
      </c>
      <c r="G12" s="3">
        <v>3</v>
      </c>
      <c r="H12" s="3" t="s">
        <v>29</v>
      </c>
      <c r="K12" s="23" t="s">
        <v>1098</v>
      </c>
      <c r="L12" s="23">
        <v>44597</v>
      </c>
      <c r="M12" s="23">
        <v>44608</v>
      </c>
      <c r="N12" s="23">
        <v>44612</v>
      </c>
      <c r="O12" s="23">
        <v>44612</v>
      </c>
      <c r="P12" s="23">
        <v>44627</v>
      </c>
      <c r="Q12" s="23">
        <v>44748</v>
      </c>
      <c r="R12" s="23">
        <v>45103</v>
      </c>
      <c r="S12" s="23">
        <v>45289</v>
      </c>
      <c r="T12" s="23">
        <v>45693</v>
      </c>
    </row>
    <row r="13" spans="1:24" ht="24" customHeight="1" thickTop="1" thickBot="1" x14ac:dyDescent="0.45">
      <c r="A13" s="40" t="s">
        <v>2123</v>
      </c>
      <c r="B13" s="3" t="s">
        <v>2124</v>
      </c>
      <c r="C13" s="3">
        <v>561</v>
      </c>
      <c r="D13" s="23">
        <v>35396</v>
      </c>
      <c r="E13" s="3" t="s">
        <v>1</v>
      </c>
      <c r="F13" s="3" t="s">
        <v>6</v>
      </c>
      <c r="G13" s="3">
        <v>4</v>
      </c>
      <c r="H13" s="3" t="s">
        <v>29</v>
      </c>
      <c r="K13" s="23" t="s">
        <v>1088</v>
      </c>
      <c r="L13" s="23">
        <v>44943</v>
      </c>
      <c r="M13" s="23">
        <v>44945</v>
      </c>
      <c r="N13" s="23">
        <v>44958</v>
      </c>
      <c r="O13" s="23">
        <v>44974</v>
      </c>
      <c r="P13" s="23">
        <v>45029</v>
      </c>
      <c r="Q13" s="23">
        <v>45163</v>
      </c>
      <c r="R13" s="23">
        <v>45650</v>
      </c>
      <c r="S13" s="23">
        <v>46053</v>
      </c>
    </row>
    <row r="14" spans="1:24" ht="24" customHeight="1" thickTop="1" thickBot="1" x14ac:dyDescent="0.45">
      <c r="A14" s="40" t="s">
        <v>2125</v>
      </c>
      <c r="B14" s="3" t="s">
        <v>2126</v>
      </c>
      <c r="C14" s="3">
        <v>553</v>
      </c>
      <c r="D14" s="23">
        <v>36894</v>
      </c>
      <c r="E14" s="3" t="s">
        <v>1</v>
      </c>
      <c r="F14" s="3" t="s">
        <v>1239</v>
      </c>
      <c r="G14" s="3">
        <v>6</v>
      </c>
      <c r="H14" s="3" t="s">
        <v>29</v>
      </c>
      <c r="K14" s="23" t="s">
        <v>2127</v>
      </c>
      <c r="L14" s="23">
        <v>44667</v>
      </c>
      <c r="M14" s="23">
        <v>44832</v>
      </c>
      <c r="N14" s="23">
        <v>44684</v>
      </c>
      <c r="O14" s="23">
        <v>44728</v>
      </c>
      <c r="P14" s="23">
        <v>44775</v>
      </c>
      <c r="Q14" s="23">
        <v>45523</v>
      </c>
    </row>
    <row r="15" spans="1:24" ht="24" customHeight="1" thickTop="1" thickBot="1" x14ac:dyDescent="0.45">
      <c r="A15" s="40" t="s">
        <v>2128</v>
      </c>
      <c r="B15" s="3" t="s">
        <v>2129</v>
      </c>
      <c r="C15" s="3">
        <v>732</v>
      </c>
      <c r="D15" s="23">
        <v>35626</v>
      </c>
      <c r="E15" s="3" t="s">
        <v>1</v>
      </c>
      <c r="F15" s="3" t="s">
        <v>6</v>
      </c>
      <c r="G15" s="3">
        <v>7</v>
      </c>
      <c r="H15" s="3" t="s">
        <v>29</v>
      </c>
      <c r="K15" s="23" t="s">
        <v>1003</v>
      </c>
      <c r="L15" s="23">
        <v>45638</v>
      </c>
      <c r="M15" s="23">
        <v>45659</v>
      </c>
      <c r="N15" s="23">
        <v>45650</v>
      </c>
      <c r="O15" s="23">
        <v>45712</v>
      </c>
      <c r="P15" s="23">
        <v>45930</v>
      </c>
    </row>
    <row r="16" spans="1:24" ht="24" customHeight="1" thickTop="1" thickBot="1" x14ac:dyDescent="0.45">
      <c r="A16" s="40" t="s">
        <v>2130</v>
      </c>
      <c r="B16" s="3" t="s">
        <v>2131</v>
      </c>
      <c r="C16" s="3">
        <v>784</v>
      </c>
      <c r="D16" s="23">
        <v>35070</v>
      </c>
      <c r="E16" s="3" t="s">
        <v>1</v>
      </c>
      <c r="F16" s="3" t="s">
        <v>6</v>
      </c>
      <c r="G16" s="3">
        <v>7</v>
      </c>
      <c r="H16" s="3" t="s">
        <v>29</v>
      </c>
      <c r="K16" s="23" t="s">
        <v>2132</v>
      </c>
      <c r="L16" s="23">
        <v>45878</v>
      </c>
      <c r="M16" s="23">
        <v>45894</v>
      </c>
      <c r="N16" s="23">
        <v>45897</v>
      </c>
      <c r="O16" s="23">
        <v>45930</v>
      </c>
      <c r="P16" s="23">
        <v>46208</v>
      </c>
    </row>
    <row r="17" spans="1:21" ht="24" customHeight="1" thickTop="1" thickBot="1" x14ac:dyDescent="0.45">
      <c r="A17" s="40" t="s">
        <v>2133</v>
      </c>
      <c r="B17" s="3" t="s">
        <v>2134</v>
      </c>
      <c r="C17" s="3">
        <v>777</v>
      </c>
      <c r="D17" s="23">
        <v>37121</v>
      </c>
      <c r="E17" s="3" t="s">
        <v>1</v>
      </c>
      <c r="F17" s="3" t="s">
        <v>1238</v>
      </c>
      <c r="G17" s="3">
        <v>7</v>
      </c>
      <c r="H17" s="3" t="s">
        <v>29</v>
      </c>
      <c r="K17" s="23" t="s">
        <v>2135</v>
      </c>
      <c r="L17" s="23">
        <v>45845</v>
      </c>
      <c r="M17" s="23">
        <v>45883</v>
      </c>
      <c r="N17" s="23">
        <v>45856</v>
      </c>
      <c r="O17" s="23">
        <v>45897</v>
      </c>
      <c r="P17" s="23">
        <v>46124</v>
      </c>
    </row>
    <row r="18" spans="1:21" ht="24" customHeight="1" thickTop="1" thickBot="1" x14ac:dyDescent="0.45">
      <c r="A18" s="40" t="s">
        <v>2136</v>
      </c>
      <c r="B18" s="3" t="s">
        <v>1774</v>
      </c>
      <c r="C18" s="3">
        <v>844</v>
      </c>
      <c r="D18" s="23">
        <v>36815</v>
      </c>
      <c r="E18" s="3" t="s">
        <v>1</v>
      </c>
      <c r="F18" s="3" t="s">
        <v>6</v>
      </c>
      <c r="G18" s="3">
        <v>8</v>
      </c>
      <c r="H18" s="3" t="s">
        <v>29</v>
      </c>
      <c r="K18" s="23" t="s">
        <v>29</v>
      </c>
      <c r="M18" s="23">
        <v>46187</v>
      </c>
      <c r="N18" s="23">
        <v>46167</v>
      </c>
      <c r="O18" s="23">
        <v>46263</v>
      </c>
    </row>
    <row r="19" spans="1:21" ht="24" customHeight="1" thickTop="1" thickBot="1" x14ac:dyDescent="0.45">
      <c r="A19" s="40" t="s">
        <v>2137</v>
      </c>
      <c r="B19" s="3" t="s">
        <v>1456</v>
      </c>
      <c r="C19" s="3">
        <v>831</v>
      </c>
      <c r="D19" s="23">
        <v>37127</v>
      </c>
      <c r="E19" s="3" t="s">
        <v>1</v>
      </c>
      <c r="F19" s="3" t="s">
        <v>1238</v>
      </c>
      <c r="G19" s="3">
        <v>8</v>
      </c>
      <c r="H19" s="3" t="s">
        <v>29</v>
      </c>
      <c r="K19" s="23" t="s">
        <v>29</v>
      </c>
      <c r="L19" s="23">
        <v>46031</v>
      </c>
      <c r="M19" s="23" t="s">
        <v>2138</v>
      </c>
      <c r="N19" s="23">
        <v>46053</v>
      </c>
      <c r="O19" s="23">
        <v>46167</v>
      </c>
    </row>
    <row r="20" spans="1:21" ht="24" customHeight="1" thickTop="1" thickBot="1" x14ac:dyDescent="0.45">
      <c r="A20" s="40" t="s">
        <v>2139</v>
      </c>
      <c r="B20" s="3" t="s">
        <v>1772</v>
      </c>
      <c r="C20" s="3">
        <v>847</v>
      </c>
      <c r="D20" s="23">
        <v>37004</v>
      </c>
      <c r="E20" s="3" t="s">
        <v>1</v>
      </c>
      <c r="F20" s="3" t="s">
        <v>1239</v>
      </c>
      <c r="G20" s="3" t="s">
        <v>2140</v>
      </c>
      <c r="H20" s="3" t="s">
        <v>29</v>
      </c>
      <c r="K20" s="23" t="s">
        <v>29</v>
      </c>
      <c r="M20" s="23">
        <v>46199</v>
      </c>
      <c r="N20" s="23">
        <v>46208</v>
      </c>
    </row>
    <row r="21" spans="1:21" ht="24" customHeight="1" thickTop="1" thickBot="1" x14ac:dyDescent="0.45">
      <c r="A21" s="40" t="s">
        <v>2141</v>
      </c>
      <c r="B21" s="3" t="s">
        <v>1771</v>
      </c>
      <c r="C21" s="3">
        <v>845</v>
      </c>
      <c r="D21" s="23">
        <v>36503</v>
      </c>
      <c r="E21" s="3" t="s">
        <v>1</v>
      </c>
      <c r="F21" s="3" t="s">
        <v>6</v>
      </c>
      <c r="G21" s="3" t="s">
        <v>2140</v>
      </c>
      <c r="H21" s="3" t="s">
        <v>29</v>
      </c>
      <c r="K21" s="23" t="s">
        <v>29</v>
      </c>
      <c r="M21" s="23">
        <v>46189</v>
      </c>
      <c r="N21" s="23">
        <v>46167</v>
      </c>
    </row>
    <row r="22" spans="1:21" ht="24" customHeight="1" thickTop="1" thickBot="1" x14ac:dyDescent="0.45">
      <c r="A22" s="40" t="s">
        <v>2142</v>
      </c>
      <c r="B22" s="3" t="s">
        <v>1773</v>
      </c>
      <c r="C22" s="3">
        <v>848</v>
      </c>
      <c r="D22" s="23">
        <v>35308</v>
      </c>
      <c r="E22" s="3" t="s">
        <v>1</v>
      </c>
      <c r="F22" s="3" t="s">
        <v>1238</v>
      </c>
      <c r="G22" s="3" t="s">
        <v>2140</v>
      </c>
      <c r="H22" s="3" t="s">
        <v>29</v>
      </c>
      <c r="K22" s="23" t="s">
        <v>29</v>
      </c>
      <c r="M22" s="23">
        <v>46202</v>
      </c>
      <c r="N22" s="23">
        <v>46208</v>
      </c>
    </row>
    <row r="23" spans="1:21" ht="24" customHeight="1" thickTop="1" thickBot="1" x14ac:dyDescent="0.45">
      <c r="A23" s="40" t="s">
        <v>2143</v>
      </c>
      <c r="B23" s="3" t="s">
        <v>2144</v>
      </c>
      <c r="C23" s="3">
        <v>28</v>
      </c>
      <c r="D23" s="23">
        <v>34256</v>
      </c>
      <c r="E23" s="3" t="s">
        <v>43</v>
      </c>
      <c r="F23" s="3" t="s">
        <v>1239</v>
      </c>
      <c r="G23" s="3" t="s">
        <v>1264</v>
      </c>
      <c r="H23" s="3" t="s">
        <v>34</v>
      </c>
    </row>
    <row r="24" spans="1:21" ht="24" customHeight="1" thickTop="1" thickBot="1" x14ac:dyDescent="0.45">
      <c r="A24" s="40" t="s">
        <v>2145</v>
      </c>
      <c r="B24" s="3" t="s">
        <v>2146</v>
      </c>
      <c r="C24" s="3">
        <v>87</v>
      </c>
      <c r="D24" s="23">
        <v>32204</v>
      </c>
      <c r="E24" s="3" t="s">
        <v>43</v>
      </c>
      <c r="F24" s="3" t="s">
        <v>1239</v>
      </c>
      <c r="G24" s="3" t="s">
        <v>1262</v>
      </c>
      <c r="H24" s="3" t="s">
        <v>34</v>
      </c>
      <c r="I24" s="3" t="s">
        <v>38</v>
      </c>
    </row>
    <row r="25" spans="1:21" ht="24" customHeight="1" thickTop="1" thickBot="1" x14ac:dyDescent="0.45">
      <c r="A25" s="40" t="s">
        <v>2147</v>
      </c>
      <c r="B25" s="3" t="s">
        <v>2148</v>
      </c>
      <c r="C25" s="3">
        <v>113</v>
      </c>
      <c r="D25" s="23">
        <v>35030</v>
      </c>
      <c r="E25" s="3" t="s">
        <v>43</v>
      </c>
      <c r="F25" s="3" t="s">
        <v>1239</v>
      </c>
      <c r="G25" s="3" t="s">
        <v>1262</v>
      </c>
      <c r="H25" s="3" t="s">
        <v>34</v>
      </c>
    </row>
    <row r="26" spans="1:21" ht="24" customHeight="1" thickTop="1" thickBot="1" x14ac:dyDescent="0.45">
      <c r="A26" s="40" t="s">
        <v>2149</v>
      </c>
      <c r="B26" s="3" t="s">
        <v>2150</v>
      </c>
      <c r="C26" s="3">
        <v>42</v>
      </c>
      <c r="D26" s="23">
        <v>32859</v>
      </c>
      <c r="E26" s="3" t="s">
        <v>43</v>
      </c>
      <c r="F26" s="3" t="s">
        <v>1239</v>
      </c>
      <c r="G26" s="3" t="s">
        <v>1262</v>
      </c>
      <c r="H26" s="3" t="s">
        <v>34</v>
      </c>
    </row>
    <row r="27" spans="1:21" ht="24" customHeight="1" thickTop="1" thickBot="1" x14ac:dyDescent="0.45">
      <c r="A27" s="40" t="s">
        <v>2151</v>
      </c>
      <c r="B27" s="3" t="s">
        <v>2152</v>
      </c>
      <c r="C27" s="3">
        <v>183</v>
      </c>
      <c r="D27" s="23">
        <v>34411</v>
      </c>
      <c r="E27" s="3" t="s">
        <v>43</v>
      </c>
      <c r="F27" s="3" t="s">
        <v>1239</v>
      </c>
      <c r="G27" s="3" t="s">
        <v>1261</v>
      </c>
      <c r="H27" s="3" t="s">
        <v>34</v>
      </c>
    </row>
    <row r="28" spans="1:21" ht="24" customHeight="1" thickTop="1" thickBot="1" x14ac:dyDescent="0.45">
      <c r="A28" s="40" t="s">
        <v>2153</v>
      </c>
      <c r="B28" s="3" t="s">
        <v>2154</v>
      </c>
      <c r="C28" s="3">
        <v>6262</v>
      </c>
      <c r="D28" s="23">
        <v>34426</v>
      </c>
      <c r="E28" s="3" t="s">
        <v>43</v>
      </c>
      <c r="F28" s="3" t="s">
        <v>1239</v>
      </c>
      <c r="G28" s="3" t="s">
        <v>1248</v>
      </c>
      <c r="H28" s="3" t="s">
        <v>34</v>
      </c>
    </row>
    <row r="29" spans="1:21" ht="24" customHeight="1" thickTop="1" thickBot="1" x14ac:dyDescent="0.45">
      <c r="A29" s="40" t="s">
        <v>2155</v>
      </c>
      <c r="B29" s="3" t="s">
        <v>2156</v>
      </c>
      <c r="C29" s="3">
        <v>6432</v>
      </c>
      <c r="D29" s="23">
        <v>33430</v>
      </c>
      <c r="E29" s="3" t="s">
        <v>43</v>
      </c>
      <c r="F29" s="3" t="s">
        <v>1239</v>
      </c>
      <c r="G29" s="3">
        <v>1</v>
      </c>
      <c r="H29" s="3" t="s">
        <v>34</v>
      </c>
    </row>
    <row r="30" spans="1:21" ht="24" customHeight="1" thickTop="1" thickBot="1" x14ac:dyDescent="0.45">
      <c r="A30" s="40" t="s">
        <v>2157</v>
      </c>
      <c r="B30" s="3" t="s">
        <v>2158</v>
      </c>
      <c r="C30" s="3">
        <v>389</v>
      </c>
      <c r="D30" s="23">
        <v>35371</v>
      </c>
      <c r="E30" s="3" t="s">
        <v>1</v>
      </c>
      <c r="F30" s="3" t="s">
        <v>1239</v>
      </c>
      <c r="G30" s="3">
        <v>2</v>
      </c>
      <c r="H30" s="3" t="s">
        <v>34</v>
      </c>
      <c r="K30" s="23" t="s">
        <v>975</v>
      </c>
      <c r="L30" s="23">
        <v>44359</v>
      </c>
      <c r="M30" s="23">
        <v>44368</v>
      </c>
      <c r="N30" s="23">
        <v>44387</v>
      </c>
      <c r="O30" s="23">
        <v>44387</v>
      </c>
      <c r="P30" s="23">
        <v>44402</v>
      </c>
      <c r="Q30" s="23">
        <v>44748</v>
      </c>
      <c r="R30" s="23">
        <v>44849</v>
      </c>
      <c r="S30" s="23">
        <v>45103</v>
      </c>
      <c r="T30" s="23">
        <v>45330</v>
      </c>
      <c r="U30" s="23">
        <v>45985</v>
      </c>
    </row>
    <row r="31" spans="1:21" ht="24" customHeight="1" thickTop="1" thickBot="1" x14ac:dyDescent="0.45">
      <c r="A31" s="40" t="s">
        <v>2159</v>
      </c>
      <c r="B31" s="3" t="s">
        <v>2160</v>
      </c>
      <c r="C31" s="3">
        <v>238</v>
      </c>
      <c r="D31" s="23">
        <v>33649</v>
      </c>
      <c r="E31" s="3" t="s">
        <v>1</v>
      </c>
      <c r="F31" s="3" t="s">
        <v>1239</v>
      </c>
      <c r="G31" s="3">
        <v>2</v>
      </c>
      <c r="H31" s="3" t="s">
        <v>34</v>
      </c>
      <c r="K31" s="23" t="s">
        <v>1126</v>
      </c>
      <c r="L31" s="23">
        <v>43362</v>
      </c>
      <c r="M31" s="23">
        <v>43383</v>
      </c>
      <c r="N31" s="23">
        <v>44387</v>
      </c>
      <c r="T31" s="23" t="s">
        <v>2161</v>
      </c>
      <c r="U31" s="23" t="s">
        <v>2162</v>
      </c>
    </row>
    <row r="32" spans="1:21" ht="24" customHeight="1" thickTop="1" thickBot="1" x14ac:dyDescent="0.45">
      <c r="A32" s="40" t="s">
        <v>26</v>
      </c>
      <c r="B32" s="3" t="s">
        <v>2163</v>
      </c>
      <c r="C32" s="3">
        <v>278</v>
      </c>
      <c r="D32" s="23">
        <v>34849</v>
      </c>
      <c r="E32" s="3" t="s">
        <v>1</v>
      </c>
      <c r="F32" s="3" t="s">
        <v>1239</v>
      </c>
      <c r="G32" s="3">
        <v>3</v>
      </c>
      <c r="H32" s="3" t="s">
        <v>34</v>
      </c>
      <c r="K32" s="23" t="s">
        <v>2164</v>
      </c>
      <c r="L32" s="23">
        <v>43579</v>
      </c>
      <c r="M32" s="23">
        <v>43579</v>
      </c>
      <c r="N32" s="23">
        <v>44387</v>
      </c>
      <c r="R32" s="23" t="s">
        <v>2165</v>
      </c>
      <c r="S32" s="23" t="s">
        <v>2166</v>
      </c>
      <c r="T32" s="23">
        <v>45650</v>
      </c>
    </row>
    <row r="33" spans="1:18" ht="24" customHeight="1" thickTop="1" thickBot="1" x14ac:dyDescent="0.45">
      <c r="A33" s="40" t="s">
        <v>2167</v>
      </c>
      <c r="B33" s="3" t="s">
        <v>2168</v>
      </c>
      <c r="C33" s="3">
        <v>587</v>
      </c>
      <c r="D33" s="23">
        <v>35739</v>
      </c>
      <c r="E33" s="3" t="s">
        <v>1</v>
      </c>
      <c r="F33" s="3" t="s">
        <v>1239</v>
      </c>
      <c r="G33" s="3">
        <v>5</v>
      </c>
      <c r="H33" s="3" t="s">
        <v>34</v>
      </c>
      <c r="K33" s="23" t="s">
        <v>34</v>
      </c>
      <c r="L33" s="23">
        <v>44954</v>
      </c>
      <c r="M33" s="23">
        <v>44966</v>
      </c>
      <c r="N33" s="23">
        <v>44974</v>
      </c>
      <c r="O33" s="23">
        <v>44994</v>
      </c>
      <c r="P33" s="23">
        <v>45163</v>
      </c>
      <c r="Q33" s="23">
        <v>45573</v>
      </c>
      <c r="R33" s="23">
        <v>46076</v>
      </c>
    </row>
    <row r="34" spans="1:18" ht="24" customHeight="1" thickTop="1" thickBot="1" x14ac:dyDescent="0.45">
      <c r="A34" s="40" t="s">
        <v>2169</v>
      </c>
      <c r="B34" s="3" t="s">
        <v>2170</v>
      </c>
      <c r="C34" s="3">
        <v>616</v>
      </c>
      <c r="D34" s="23">
        <v>33563</v>
      </c>
      <c r="E34" s="3" t="s">
        <v>1</v>
      </c>
      <c r="F34" s="3" t="s">
        <v>1239</v>
      </c>
      <c r="G34" s="3">
        <v>5</v>
      </c>
      <c r="H34" s="3" t="s">
        <v>34</v>
      </c>
      <c r="K34" s="23" t="s">
        <v>2171</v>
      </c>
      <c r="L34" s="23">
        <v>45180</v>
      </c>
      <c r="M34" s="23">
        <v>45183</v>
      </c>
      <c r="N34" s="23">
        <v>45180</v>
      </c>
      <c r="O34" s="23">
        <v>45180</v>
      </c>
      <c r="P34" s="23">
        <v>45272</v>
      </c>
      <c r="Q34" s="23">
        <v>45460</v>
      </c>
      <c r="R34" s="23">
        <v>45712</v>
      </c>
    </row>
    <row r="35" spans="1:18" ht="24" customHeight="1" thickTop="1" thickBot="1" x14ac:dyDescent="0.45">
      <c r="A35" s="40" t="s">
        <v>2172</v>
      </c>
      <c r="B35" s="3" t="s">
        <v>2173</v>
      </c>
      <c r="C35" s="3">
        <v>716</v>
      </c>
      <c r="D35" s="23">
        <v>36984</v>
      </c>
      <c r="E35" s="3" t="s">
        <v>1</v>
      </c>
      <c r="F35" s="3" t="s">
        <v>1239</v>
      </c>
      <c r="G35" s="3">
        <v>6</v>
      </c>
      <c r="H35" s="3" t="s">
        <v>34</v>
      </c>
      <c r="K35" s="23" t="s">
        <v>1001</v>
      </c>
      <c r="L35" s="23">
        <v>45505</v>
      </c>
      <c r="M35" s="23">
        <v>45553</v>
      </c>
      <c r="N35" s="23">
        <v>45523</v>
      </c>
      <c r="O35" s="23">
        <v>45558</v>
      </c>
      <c r="P35" s="23">
        <v>45669</v>
      </c>
      <c r="Q35" s="23">
        <v>46053</v>
      </c>
    </row>
    <row r="36" spans="1:18" ht="24" customHeight="1" thickTop="1" thickBot="1" x14ac:dyDescent="0.45">
      <c r="A36" s="40" t="s">
        <v>2174</v>
      </c>
      <c r="B36" s="3" t="s">
        <v>2175</v>
      </c>
      <c r="C36" s="3">
        <v>632</v>
      </c>
      <c r="D36" s="23">
        <v>35710</v>
      </c>
      <c r="E36" s="3" t="s">
        <v>1</v>
      </c>
      <c r="F36" s="3" t="s">
        <v>1239</v>
      </c>
      <c r="G36" s="3">
        <v>6</v>
      </c>
      <c r="H36" s="3" t="s">
        <v>34</v>
      </c>
      <c r="K36" s="23" t="s">
        <v>2176</v>
      </c>
      <c r="L36" s="23">
        <v>45205</v>
      </c>
      <c r="M36" s="23">
        <v>45211</v>
      </c>
      <c r="N36" s="23">
        <v>45215</v>
      </c>
      <c r="O36" s="23">
        <v>45230</v>
      </c>
      <c r="P36" s="23">
        <v>45376</v>
      </c>
      <c r="Q36" s="23">
        <v>45985</v>
      </c>
    </row>
    <row r="37" spans="1:18" ht="24" customHeight="1" thickTop="1" thickBot="1" x14ac:dyDescent="0.45">
      <c r="A37" s="40" t="s">
        <v>2177</v>
      </c>
      <c r="B37" s="3" t="s">
        <v>2178</v>
      </c>
      <c r="C37" s="3">
        <v>745</v>
      </c>
      <c r="D37" s="23">
        <v>36296</v>
      </c>
      <c r="E37" s="3" t="s">
        <v>1</v>
      </c>
      <c r="F37" s="3" t="s">
        <v>1239</v>
      </c>
      <c r="G37" s="3">
        <v>7</v>
      </c>
      <c r="H37" s="3" t="s">
        <v>34</v>
      </c>
      <c r="K37" s="23" t="s">
        <v>2179</v>
      </c>
      <c r="L37" s="23">
        <v>45732</v>
      </c>
      <c r="M37" s="23">
        <v>45747</v>
      </c>
      <c r="N37" s="23">
        <v>45739</v>
      </c>
      <c r="O37" s="23">
        <v>45832</v>
      </c>
      <c r="P37" s="23">
        <v>46053</v>
      </c>
    </row>
    <row r="38" spans="1:18" ht="24" customHeight="1" thickTop="1" thickBot="1" x14ac:dyDescent="0.45">
      <c r="A38" s="40" t="s">
        <v>2180</v>
      </c>
      <c r="B38" s="3" t="s">
        <v>2181</v>
      </c>
      <c r="C38" s="3">
        <v>764</v>
      </c>
      <c r="D38" s="23">
        <v>37380</v>
      </c>
      <c r="E38" s="3" t="s">
        <v>1</v>
      </c>
      <c r="F38" s="3" t="s">
        <v>1239</v>
      </c>
      <c r="G38" s="3">
        <v>7</v>
      </c>
      <c r="H38" s="3" t="s">
        <v>34</v>
      </c>
      <c r="K38" s="23" t="s">
        <v>34</v>
      </c>
      <c r="L38" s="23">
        <v>45846</v>
      </c>
      <c r="M38" s="23">
        <v>45862</v>
      </c>
      <c r="N38" s="23">
        <v>45856</v>
      </c>
      <c r="O38" s="23">
        <v>45930</v>
      </c>
      <c r="P38" s="23">
        <v>46076</v>
      </c>
    </row>
    <row r="39" spans="1:18" ht="24" customHeight="1" thickTop="1" thickBot="1" x14ac:dyDescent="0.45">
      <c r="A39" s="40" t="s">
        <v>2182</v>
      </c>
      <c r="B39" s="3" t="s">
        <v>2183</v>
      </c>
      <c r="C39" s="3">
        <v>794</v>
      </c>
      <c r="D39" s="23">
        <v>35356</v>
      </c>
      <c r="E39" s="3" t="s">
        <v>1</v>
      </c>
      <c r="F39" s="3" t="s">
        <v>1239</v>
      </c>
      <c r="G39" s="3">
        <v>7</v>
      </c>
      <c r="H39" s="3" t="s">
        <v>34</v>
      </c>
      <c r="K39" s="23" t="s">
        <v>34</v>
      </c>
      <c r="L39" s="23">
        <v>45910</v>
      </c>
      <c r="M39" s="23">
        <v>45920</v>
      </c>
      <c r="N39" s="23">
        <v>45985</v>
      </c>
      <c r="O39" s="23">
        <v>46076</v>
      </c>
    </row>
    <row r="40" spans="1:18" ht="24" customHeight="1" thickTop="1" thickBot="1" x14ac:dyDescent="0.45">
      <c r="A40" s="40" t="s">
        <v>2184</v>
      </c>
      <c r="B40" s="3" t="s">
        <v>1432</v>
      </c>
      <c r="C40" s="3">
        <v>818</v>
      </c>
      <c r="D40" s="23">
        <v>38346</v>
      </c>
      <c r="E40" s="3" t="s">
        <v>1</v>
      </c>
      <c r="F40" s="3" t="s">
        <v>1239</v>
      </c>
      <c r="G40" s="3">
        <v>8</v>
      </c>
      <c r="H40" s="3" t="s">
        <v>34</v>
      </c>
      <c r="K40" s="23" t="s">
        <v>2185</v>
      </c>
      <c r="L40" s="23">
        <v>46013</v>
      </c>
      <c r="M40" s="23">
        <v>46046</v>
      </c>
      <c r="N40" s="23">
        <v>46019</v>
      </c>
      <c r="O40" s="23">
        <v>46148</v>
      </c>
    </row>
    <row r="41" spans="1:18" ht="24" customHeight="1" thickTop="1" thickBot="1" x14ac:dyDescent="0.45">
      <c r="A41" s="40" t="s">
        <v>2186</v>
      </c>
      <c r="B41" s="3" t="s">
        <v>1778</v>
      </c>
      <c r="C41" s="3">
        <v>849</v>
      </c>
      <c r="D41" s="23">
        <v>35531</v>
      </c>
      <c r="E41" s="3" t="s">
        <v>1</v>
      </c>
      <c r="F41" s="3" t="s">
        <v>1239</v>
      </c>
      <c r="G41" s="3">
        <v>8</v>
      </c>
      <c r="H41" s="3" t="s">
        <v>34</v>
      </c>
      <c r="K41" s="23" t="s">
        <v>34</v>
      </c>
      <c r="M41" s="23">
        <v>46227</v>
      </c>
      <c r="N41" s="23">
        <v>46237</v>
      </c>
      <c r="O41" s="23">
        <v>46263</v>
      </c>
    </row>
    <row r="42" spans="1:18" ht="24" customHeight="1" thickTop="1" thickBot="1" x14ac:dyDescent="0.45">
      <c r="A42" s="40" t="s">
        <v>2187</v>
      </c>
      <c r="B42" s="3" t="s">
        <v>1467</v>
      </c>
      <c r="C42" s="3">
        <v>829</v>
      </c>
      <c r="D42" s="23">
        <v>37918</v>
      </c>
      <c r="E42" s="3" t="s">
        <v>1</v>
      </c>
      <c r="F42" s="3" t="s">
        <v>1239</v>
      </c>
      <c r="G42" s="3">
        <v>8</v>
      </c>
      <c r="H42" s="3" t="s">
        <v>34</v>
      </c>
      <c r="K42" s="23" t="s">
        <v>34</v>
      </c>
      <c r="L42" s="23">
        <v>46052</v>
      </c>
      <c r="M42" s="23">
        <v>46075</v>
      </c>
      <c r="N42" s="23">
        <v>46124</v>
      </c>
    </row>
    <row r="43" spans="1:18" ht="24" customHeight="1" thickTop="1" thickBot="1" x14ac:dyDescent="0.45">
      <c r="A43" s="40" t="s">
        <v>2188</v>
      </c>
      <c r="B43" s="3" t="s">
        <v>2189</v>
      </c>
      <c r="C43" s="3">
        <v>10</v>
      </c>
      <c r="D43" s="23">
        <v>33993</v>
      </c>
      <c r="E43" s="3" t="s">
        <v>43</v>
      </c>
      <c r="F43" s="3" t="s">
        <v>1239</v>
      </c>
      <c r="G43" s="3" t="s">
        <v>1277</v>
      </c>
      <c r="H43" s="3" t="s">
        <v>9</v>
      </c>
    </row>
    <row r="44" spans="1:18" ht="24" customHeight="1" thickTop="1" thickBot="1" x14ac:dyDescent="0.45">
      <c r="A44" s="40" t="s">
        <v>2190</v>
      </c>
      <c r="B44" s="3" t="s">
        <v>2191</v>
      </c>
      <c r="C44" s="3">
        <v>8</v>
      </c>
      <c r="D44" s="23">
        <v>32394</v>
      </c>
      <c r="E44" s="3" t="s">
        <v>43</v>
      </c>
      <c r="F44" s="3" t="s">
        <v>6</v>
      </c>
      <c r="G44" s="3" t="s">
        <v>1277</v>
      </c>
      <c r="H44" s="3" t="s">
        <v>9</v>
      </c>
    </row>
    <row r="45" spans="1:18" ht="24" customHeight="1" thickTop="1" thickBot="1" x14ac:dyDescent="0.45">
      <c r="A45" s="40" t="s">
        <v>2192</v>
      </c>
      <c r="B45" s="3" t="s">
        <v>2193</v>
      </c>
      <c r="C45" s="3">
        <v>25</v>
      </c>
      <c r="D45" s="23">
        <v>34060</v>
      </c>
      <c r="E45" s="3" t="s">
        <v>43</v>
      </c>
      <c r="F45" s="3" t="s">
        <v>1238</v>
      </c>
      <c r="G45" s="3" t="s">
        <v>1277</v>
      </c>
      <c r="H45" s="3" t="s">
        <v>9</v>
      </c>
    </row>
    <row r="46" spans="1:18" ht="24" customHeight="1" thickTop="1" thickBot="1" x14ac:dyDescent="0.45">
      <c r="A46" s="40" t="s">
        <v>2194</v>
      </c>
      <c r="B46" s="3" t="s">
        <v>2195</v>
      </c>
      <c r="C46" s="3">
        <v>72</v>
      </c>
      <c r="D46" s="23">
        <v>34932</v>
      </c>
      <c r="E46" s="3" t="s">
        <v>43</v>
      </c>
      <c r="F46" s="3" t="s">
        <v>1238</v>
      </c>
      <c r="G46" s="3" t="s">
        <v>1264</v>
      </c>
      <c r="H46" s="3" t="s">
        <v>9</v>
      </c>
    </row>
    <row r="47" spans="1:18" ht="24" customHeight="1" thickTop="1" thickBot="1" x14ac:dyDescent="0.45">
      <c r="A47" s="40" t="s">
        <v>2196</v>
      </c>
      <c r="B47" s="3" t="s">
        <v>2197</v>
      </c>
      <c r="C47" s="3">
        <v>30</v>
      </c>
      <c r="D47" s="23">
        <v>34774</v>
      </c>
      <c r="E47" s="3" t="s">
        <v>43</v>
      </c>
      <c r="F47" s="3" t="s">
        <v>1239</v>
      </c>
      <c r="G47" s="3" t="s">
        <v>1262</v>
      </c>
      <c r="H47" s="3" t="s">
        <v>9</v>
      </c>
    </row>
    <row r="48" spans="1:18" ht="24" customHeight="1" thickTop="1" thickBot="1" x14ac:dyDescent="0.45">
      <c r="A48" s="40" t="s">
        <v>2198</v>
      </c>
      <c r="B48" s="3" t="s">
        <v>2199</v>
      </c>
      <c r="C48" s="3">
        <v>53</v>
      </c>
      <c r="D48" s="23">
        <v>32157</v>
      </c>
      <c r="E48" s="3" t="s">
        <v>43</v>
      </c>
      <c r="F48" s="3" t="s">
        <v>6</v>
      </c>
      <c r="G48" s="3" t="s">
        <v>1262</v>
      </c>
      <c r="H48" s="3" t="s">
        <v>9</v>
      </c>
    </row>
    <row r="49" spans="1:23" ht="24" customHeight="1" thickTop="1" thickBot="1" x14ac:dyDescent="0.45">
      <c r="A49" s="40" t="s">
        <v>2200</v>
      </c>
      <c r="B49" s="3" t="s">
        <v>2201</v>
      </c>
      <c r="C49" s="3">
        <v>49</v>
      </c>
      <c r="D49" s="23">
        <v>32621</v>
      </c>
      <c r="E49" s="3" t="s">
        <v>43</v>
      </c>
      <c r="F49" s="3" t="s">
        <v>1238</v>
      </c>
      <c r="G49" s="3" t="s">
        <v>1261</v>
      </c>
      <c r="H49" s="3" t="s">
        <v>9</v>
      </c>
    </row>
    <row r="50" spans="1:23" ht="24" customHeight="1" thickTop="1" thickBot="1" x14ac:dyDescent="0.45">
      <c r="A50" s="40" t="s">
        <v>2202</v>
      </c>
      <c r="B50" s="3" t="s">
        <v>2203</v>
      </c>
      <c r="C50" s="3">
        <v>179</v>
      </c>
      <c r="D50" s="23">
        <v>37317</v>
      </c>
      <c r="E50" s="3" t="s">
        <v>43</v>
      </c>
      <c r="F50" s="3" t="s">
        <v>1238</v>
      </c>
      <c r="G50" s="3" t="s">
        <v>1248</v>
      </c>
      <c r="H50" s="3" t="s">
        <v>9</v>
      </c>
    </row>
    <row r="51" spans="1:23" ht="24" customHeight="1" thickTop="1" thickBot="1" x14ac:dyDescent="0.45">
      <c r="A51" s="40" t="s">
        <v>44</v>
      </c>
      <c r="B51" s="3" t="s">
        <v>2204</v>
      </c>
      <c r="C51" s="3">
        <v>6161</v>
      </c>
      <c r="D51" s="23">
        <v>32835</v>
      </c>
      <c r="E51" s="3" t="s">
        <v>43</v>
      </c>
      <c r="F51" s="3" t="s">
        <v>1238</v>
      </c>
      <c r="G51" s="3">
        <v>8</v>
      </c>
      <c r="H51" s="3" t="s">
        <v>9</v>
      </c>
      <c r="I51" s="3" t="s">
        <v>38</v>
      </c>
    </row>
    <row r="52" spans="1:23" ht="24" customHeight="1" thickTop="1" thickBot="1" x14ac:dyDescent="0.45">
      <c r="A52" s="40" t="s">
        <v>2205</v>
      </c>
      <c r="B52" s="3" t="s">
        <v>2206</v>
      </c>
      <c r="C52" s="3">
        <v>311</v>
      </c>
      <c r="D52" s="23">
        <v>32144</v>
      </c>
      <c r="E52" s="3" t="s">
        <v>1</v>
      </c>
      <c r="F52" s="3" t="s">
        <v>6</v>
      </c>
      <c r="G52" s="3">
        <v>0</v>
      </c>
      <c r="H52" s="3" t="s">
        <v>9</v>
      </c>
      <c r="K52" s="43" t="s">
        <v>1225</v>
      </c>
      <c r="L52" s="61"/>
      <c r="M52" s="23">
        <v>44004</v>
      </c>
      <c r="N52" s="23">
        <v>44387</v>
      </c>
      <c r="W52" s="30">
        <v>44387</v>
      </c>
    </row>
    <row r="53" spans="1:23" ht="24" customHeight="1" thickTop="1" thickBot="1" x14ac:dyDescent="0.45">
      <c r="A53" s="40" t="s">
        <v>2207</v>
      </c>
      <c r="B53" s="3" t="s">
        <v>2208</v>
      </c>
      <c r="C53" s="3">
        <v>269</v>
      </c>
      <c r="D53" s="23">
        <v>35509</v>
      </c>
      <c r="E53" s="3" t="s">
        <v>1</v>
      </c>
      <c r="F53" s="3" t="s">
        <v>1238</v>
      </c>
      <c r="G53" s="3">
        <v>0</v>
      </c>
      <c r="H53" s="3" t="s">
        <v>9</v>
      </c>
      <c r="K53" s="43" t="s">
        <v>971</v>
      </c>
      <c r="L53" s="61"/>
      <c r="M53" s="23">
        <v>43563</v>
      </c>
      <c r="N53" s="23">
        <v>44387</v>
      </c>
      <c r="V53" s="23">
        <v>44387</v>
      </c>
      <c r="W53" s="30">
        <v>44769</v>
      </c>
    </row>
    <row r="54" spans="1:23" ht="24" customHeight="1" thickTop="1" thickBot="1" x14ac:dyDescent="0.45">
      <c r="A54" s="40" t="s">
        <v>2209</v>
      </c>
      <c r="B54" s="3" t="s">
        <v>2210</v>
      </c>
      <c r="C54" s="3">
        <v>498</v>
      </c>
      <c r="D54" s="23">
        <v>34044</v>
      </c>
      <c r="E54" s="3" t="s">
        <v>1</v>
      </c>
      <c r="F54" s="3" t="s">
        <v>1238</v>
      </c>
      <c r="G54" s="3">
        <v>2</v>
      </c>
      <c r="H54" s="3" t="s">
        <v>9</v>
      </c>
      <c r="K54" s="23" t="s">
        <v>980</v>
      </c>
      <c r="L54" s="23">
        <v>44622</v>
      </c>
      <c r="M54" s="23">
        <v>44633</v>
      </c>
      <c r="N54" s="23">
        <v>44634</v>
      </c>
      <c r="O54" s="23">
        <v>44643</v>
      </c>
      <c r="P54" s="23">
        <v>44684</v>
      </c>
      <c r="Q54" s="23">
        <v>44748</v>
      </c>
      <c r="R54" s="23">
        <v>44884</v>
      </c>
      <c r="S54" s="23">
        <v>45117</v>
      </c>
      <c r="T54" s="23">
        <v>45330</v>
      </c>
      <c r="U54" s="23">
        <v>45985</v>
      </c>
    </row>
    <row r="55" spans="1:23" ht="24" customHeight="1" thickTop="1" thickBot="1" x14ac:dyDescent="0.45">
      <c r="A55" s="40" t="s">
        <v>2211</v>
      </c>
      <c r="B55" s="3" t="s">
        <v>2212</v>
      </c>
      <c r="C55" s="3">
        <v>395</v>
      </c>
      <c r="D55" s="23">
        <v>36111</v>
      </c>
      <c r="E55" s="3" t="s">
        <v>1</v>
      </c>
      <c r="F55" s="3" t="s">
        <v>6</v>
      </c>
      <c r="G55" s="3">
        <v>4</v>
      </c>
      <c r="H55" s="3" t="s">
        <v>9</v>
      </c>
      <c r="K55" s="23" t="s">
        <v>976</v>
      </c>
      <c r="L55" s="23">
        <v>44369</v>
      </c>
      <c r="M55" s="23">
        <v>44376</v>
      </c>
      <c r="N55" s="23">
        <v>44387</v>
      </c>
      <c r="O55" s="23">
        <v>44387</v>
      </c>
      <c r="P55" s="23">
        <v>44416</v>
      </c>
      <c r="Q55" s="23">
        <v>44435</v>
      </c>
      <c r="R55" s="23">
        <v>44593</v>
      </c>
      <c r="S55" s="23">
        <v>45197</v>
      </c>
    </row>
    <row r="56" spans="1:23" ht="24" customHeight="1" thickTop="1" thickBot="1" x14ac:dyDescent="0.45">
      <c r="A56" s="40" t="s">
        <v>2213</v>
      </c>
      <c r="B56" s="3" t="s">
        <v>2214</v>
      </c>
      <c r="C56" s="3">
        <v>588</v>
      </c>
      <c r="D56" s="23">
        <v>35739</v>
      </c>
      <c r="E56" s="3" t="s">
        <v>1</v>
      </c>
      <c r="F56" s="3" t="s">
        <v>1238</v>
      </c>
      <c r="G56" s="3">
        <v>4</v>
      </c>
      <c r="H56" s="3" t="s">
        <v>9</v>
      </c>
      <c r="K56" s="23" t="s">
        <v>2215</v>
      </c>
      <c r="L56" s="23">
        <v>44954</v>
      </c>
      <c r="M56" s="23">
        <v>44966</v>
      </c>
      <c r="N56" s="23">
        <v>44974</v>
      </c>
      <c r="O56" s="23">
        <v>44974</v>
      </c>
      <c r="P56" s="23">
        <v>45151</v>
      </c>
      <c r="Q56" s="23">
        <v>45258</v>
      </c>
      <c r="R56" s="23">
        <v>45523</v>
      </c>
      <c r="S56" s="23">
        <v>45985</v>
      </c>
    </row>
    <row r="57" spans="1:23" ht="24" customHeight="1" thickTop="1" thickBot="1" x14ac:dyDescent="0.45">
      <c r="A57" s="40" t="s">
        <v>2216</v>
      </c>
      <c r="B57" s="3" t="s">
        <v>2217</v>
      </c>
      <c r="C57" s="3">
        <v>697</v>
      </c>
      <c r="D57" s="23">
        <v>36939</v>
      </c>
      <c r="E57" s="3" t="s">
        <v>1</v>
      </c>
      <c r="F57" s="3" t="s">
        <v>1239</v>
      </c>
      <c r="G57" s="3">
        <v>5</v>
      </c>
      <c r="H57" s="3" t="s">
        <v>9</v>
      </c>
      <c r="K57" s="23" t="s">
        <v>9</v>
      </c>
      <c r="L57" s="23">
        <v>45456</v>
      </c>
      <c r="M57" s="23">
        <v>45485</v>
      </c>
      <c r="N57" s="23">
        <v>45460</v>
      </c>
      <c r="O57" s="23">
        <v>45523</v>
      </c>
      <c r="P57" s="23">
        <v>45599</v>
      </c>
      <c r="Q57" s="23">
        <v>45856</v>
      </c>
      <c r="R57" s="23">
        <v>46076</v>
      </c>
    </row>
    <row r="58" spans="1:23" ht="24" customHeight="1" thickTop="1" thickBot="1" x14ac:dyDescent="0.45">
      <c r="A58" s="40" t="s">
        <v>2218</v>
      </c>
      <c r="B58" s="3" t="s">
        <v>2219</v>
      </c>
      <c r="C58" s="3">
        <v>501</v>
      </c>
      <c r="D58" s="23">
        <v>36976</v>
      </c>
      <c r="E58" s="3" t="s">
        <v>1</v>
      </c>
      <c r="F58" s="3" t="s">
        <v>6</v>
      </c>
      <c r="G58" s="3">
        <v>6</v>
      </c>
      <c r="H58" s="3" t="s">
        <v>9</v>
      </c>
      <c r="K58" s="23" t="s">
        <v>1387</v>
      </c>
      <c r="L58" s="23">
        <v>44601</v>
      </c>
      <c r="M58" s="23">
        <v>44638</v>
      </c>
      <c r="N58" s="23">
        <v>44605</v>
      </c>
      <c r="O58" s="23">
        <v>44634</v>
      </c>
      <c r="P58" s="23">
        <v>44728</v>
      </c>
      <c r="Q58" s="23">
        <v>45856</v>
      </c>
    </row>
    <row r="59" spans="1:23" ht="24" customHeight="1" thickTop="1" thickBot="1" x14ac:dyDescent="0.45">
      <c r="A59" s="40" t="s">
        <v>2220</v>
      </c>
      <c r="B59" s="3" t="s">
        <v>2221</v>
      </c>
      <c r="C59" s="3">
        <v>750</v>
      </c>
      <c r="D59" s="23">
        <v>37158</v>
      </c>
      <c r="E59" s="3" t="s">
        <v>1</v>
      </c>
      <c r="F59" s="3" t="s">
        <v>6</v>
      </c>
      <c r="G59" s="3">
        <v>6</v>
      </c>
      <c r="H59" s="3" t="s">
        <v>9</v>
      </c>
      <c r="K59" s="23" t="s">
        <v>9</v>
      </c>
      <c r="L59" s="23">
        <v>45789</v>
      </c>
      <c r="M59" s="23">
        <v>45813</v>
      </c>
      <c r="N59" s="23">
        <v>45802</v>
      </c>
      <c r="O59" s="23">
        <v>45866</v>
      </c>
      <c r="P59" s="23">
        <v>45985</v>
      </c>
      <c r="Q59" s="23">
        <v>46237</v>
      </c>
    </row>
    <row r="60" spans="1:23" ht="24" customHeight="1" thickTop="1" thickBot="1" x14ac:dyDescent="0.45">
      <c r="A60" s="40" t="s">
        <v>2222</v>
      </c>
      <c r="B60" s="3" t="s">
        <v>2223</v>
      </c>
      <c r="C60" s="3">
        <v>751</v>
      </c>
      <c r="D60" s="23">
        <v>36346</v>
      </c>
      <c r="E60" s="3" t="s">
        <v>1</v>
      </c>
      <c r="F60" s="3" t="s">
        <v>1238</v>
      </c>
      <c r="G60" s="3">
        <v>6</v>
      </c>
      <c r="H60" s="3" t="s">
        <v>9</v>
      </c>
      <c r="K60" s="23" t="s">
        <v>9</v>
      </c>
      <c r="L60" s="23">
        <v>45789</v>
      </c>
      <c r="M60" s="23">
        <v>45813</v>
      </c>
      <c r="N60" s="23">
        <v>45802</v>
      </c>
      <c r="O60" s="23">
        <v>45866</v>
      </c>
      <c r="P60" s="23">
        <v>45930</v>
      </c>
      <c r="Q60" s="23">
        <v>46076</v>
      </c>
    </row>
    <row r="61" spans="1:23" ht="24" customHeight="1" thickTop="1" thickBot="1" x14ac:dyDescent="0.45">
      <c r="A61" s="40" t="s">
        <v>2224</v>
      </c>
      <c r="B61" s="3" t="s">
        <v>2225</v>
      </c>
      <c r="C61" s="3">
        <v>798</v>
      </c>
      <c r="D61" s="23">
        <v>36955</v>
      </c>
      <c r="E61" s="3" t="s">
        <v>1</v>
      </c>
      <c r="F61" s="3" t="s">
        <v>1239</v>
      </c>
      <c r="G61" s="3">
        <v>8</v>
      </c>
      <c r="H61" s="3" t="s">
        <v>9</v>
      </c>
      <c r="K61" s="23" t="s">
        <v>9</v>
      </c>
      <c r="L61" s="23">
        <v>45908</v>
      </c>
      <c r="M61" s="23">
        <v>45927</v>
      </c>
      <c r="N61" s="23">
        <v>45930</v>
      </c>
      <c r="O61" s="23">
        <v>45985</v>
      </c>
    </row>
    <row r="62" spans="1:23" ht="24" customHeight="1" thickTop="1" thickBot="1" x14ac:dyDescent="0.45">
      <c r="A62" s="40" t="s">
        <v>2226</v>
      </c>
      <c r="B62" s="3" t="s">
        <v>1769</v>
      </c>
      <c r="C62" s="3">
        <v>846</v>
      </c>
      <c r="D62" s="23">
        <v>37542</v>
      </c>
      <c r="E62" s="3" t="s">
        <v>1</v>
      </c>
      <c r="F62" s="3" t="s">
        <v>6</v>
      </c>
      <c r="G62" s="3">
        <v>8</v>
      </c>
      <c r="H62" s="3" t="s">
        <v>9</v>
      </c>
      <c r="K62" s="23" t="s">
        <v>9</v>
      </c>
      <c r="L62" s="23">
        <v>46150</v>
      </c>
      <c r="M62" s="23">
        <v>46196</v>
      </c>
      <c r="N62" s="23">
        <v>46208</v>
      </c>
      <c r="O62" s="23">
        <v>46237</v>
      </c>
    </row>
    <row r="63" spans="1:23" ht="24" customHeight="1" thickTop="1" thickBot="1" x14ac:dyDescent="0.45">
      <c r="A63" s="40" t="s">
        <v>2227</v>
      </c>
      <c r="B63" s="3" t="s">
        <v>2228</v>
      </c>
      <c r="C63" s="3">
        <v>832</v>
      </c>
      <c r="D63" s="23">
        <v>35625</v>
      </c>
      <c r="E63" s="3" t="s">
        <v>1</v>
      </c>
      <c r="F63" s="3" t="s">
        <v>1238</v>
      </c>
      <c r="G63" s="3">
        <v>8</v>
      </c>
      <c r="H63" s="3" t="s">
        <v>9</v>
      </c>
      <c r="K63" s="23" t="s">
        <v>2229</v>
      </c>
      <c r="L63" s="23">
        <v>45976</v>
      </c>
      <c r="M63" s="23" t="s">
        <v>2230</v>
      </c>
      <c r="N63" s="23">
        <v>45985</v>
      </c>
      <c r="O63" s="23">
        <v>46053</v>
      </c>
    </row>
    <row r="64" spans="1:23" ht="24" customHeight="1" thickTop="1" thickBot="1" x14ac:dyDescent="0.45">
      <c r="A64" s="40" t="s">
        <v>2231</v>
      </c>
      <c r="B64" s="3" t="s">
        <v>1786</v>
      </c>
      <c r="C64" s="3">
        <v>15</v>
      </c>
      <c r="D64" s="23">
        <v>33582</v>
      </c>
      <c r="E64" s="3" t="s">
        <v>43</v>
      </c>
      <c r="F64" s="3" t="s">
        <v>6</v>
      </c>
      <c r="G64" s="3" t="s">
        <v>1277</v>
      </c>
      <c r="H64" s="3" t="s">
        <v>1766</v>
      </c>
    </row>
    <row r="65" spans="1:21" ht="24" customHeight="1" thickTop="1" thickBot="1" x14ac:dyDescent="0.45">
      <c r="A65" s="40" t="s">
        <v>2232</v>
      </c>
      <c r="B65" s="3" t="s">
        <v>1725</v>
      </c>
      <c r="C65" s="3">
        <v>21</v>
      </c>
      <c r="D65" s="23">
        <v>33801</v>
      </c>
      <c r="E65" s="3" t="s">
        <v>43</v>
      </c>
      <c r="F65" s="3" t="s">
        <v>1239</v>
      </c>
      <c r="G65" s="3" t="s">
        <v>1264</v>
      </c>
      <c r="H65" s="3" t="s">
        <v>1766</v>
      </c>
    </row>
    <row r="66" spans="1:21" ht="24" customHeight="1" thickTop="1" thickBot="1" x14ac:dyDescent="0.45">
      <c r="A66" s="40" t="s">
        <v>50</v>
      </c>
      <c r="B66" s="3" t="s">
        <v>2233</v>
      </c>
      <c r="C66" s="3">
        <v>1</v>
      </c>
      <c r="D66" s="23">
        <v>32672</v>
      </c>
      <c r="E66" s="3" t="s">
        <v>43</v>
      </c>
      <c r="F66" s="3" t="s">
        <v>6</v>
      </c>
      <c r="G66" s="3" t="s">
        <v>1264</v>
      </c>
      <c r="H66" s="3" t="s">
        <v>1766</v>
      </c>
      <c r="I66" s="3" t="s">
        <v>38</v>
      </c>
    </row>
    <row r="67" spans="1:21" ht="24" customHeight="1" thickTop="1" thickBot="1" x14ac:dyDescent="0.45">
      <c r="A67" s="40" t="s">
        <v>55</v>
      </c>
      <c r="B67" s="3" t="s">
        <v>2234</v>
      </c>
      <c r="C67" s="3">
        <v>43</v>
      </c>
      <c r="D67" s="23">
        <v>33779</v>
      </c>
      <c r="E67" s="3" t="s">
        <v>43</v>
      </c>
      <c r="F67" s="3" t="s">
        <v>6</v>
      </c>
      <c r="G67" s="3" t="s">
        <v>1264</v>
      </c>
      <c r="H67" s="3" t="s">
        <v>1766</v>
      </c>
    </row>
    <row r="68" spans="1:21" ht="24" customHeight="1" thickTop="1" thickBot="1" x14ac:dyDescent="0.45">
      <c r="A68" s="40" t="s">
        <v>2237</v>
      </c>
      <c r="B68" s="3" t="s">
        <v>2238</v>
      </c>
      <c r="C68" s="3">
        <v>48</v>
      </c>
      <c r="D68" s="23">
        <v>33467</v>
      </c>
      <c r="E68" s="3" t="s">
        <v>43</v>
      </c>
      <c r="F68" s="3" t="s">
        <v>6</v>
      </c>
      <c r="G68" s="3" t="s">
        <v>1262</v>
      </c>
      <c r="H68" s="3" t="s">
        <v>1766</v>
      </c>
    </row>
    <row r="69" spans="1:21" ht="24" customHeight="1" thickTop="1" thickBot="1" x14ac:dyDescent="0.45">
      <c r="A69" s="40" t="s">
        <v>2239</v>
      </c>
      <c r="B69" s="3" t="s">
        <v>2240</v>
      </c>
      <c r="C69" s="3">
        <v>162</v>
      </c>
      <c r="D69" s="23">
        <v>33406</v>
      </c>
      <c r="E69" s="3" t="s">
        <v>43</v>
      </c>
      <c r="F69" s="3" t="s">
        <v>1238</v>
      </c>
      <c r="G69" s="3" t="s">
        <v>1262</v>
      </c>
      <c r="H69" s="3" t="s">
        <v>1766</v>
      </c>
    </row>
    <row r="70" spans="1:21" ht="24" customHeight="1" thickTop="1" thickBot="1" x14ac:dyDescent="0.45">
      <c r="A70" s="40" t="s">
        <v>2243</v>
      </c>
      <c r="B70" s="3" t="s">
        <v>1787</v>
      </c>
      <c r="C70" s="3">
        <v>209</v>
      </c>
      <c r="D70" s="23">
        <v>34392</v>
      </c>
      <c r="E70" s="3" t="s">
        <v>1</v>
      </c>
      <c r="F70" s="3" t="s">
        <v>6</v>
      </c>
      <c r="G70" s="3">
        <v>2</v>
      </c>
      <c r="H70" s="3" t="s">
        <v>1766</v>
      </c>
      <c r="K70" s="23" t="s">
        <v>2244</v>
      </c>
      <c r="M70" s="23">
        <v>43303</v>
      </c>
      <c r="N70" s="23">
        <v>44387</v>
      </c>
      <c r="U70" s="23">
        <v>44387</v>
      </c>
    </row>
    <row r="71" spans="1:21" ht="24" customHeight="1" thickTop="1" thickBot="1" x14ac:dyDescent="0.45">
      <c r="A71" s="40" t="s">
        <v>1698</v>
      </c>
      <c r="B71" s="3" t="s">
        <v>1699</v>
      </c>
      <c r="C71" s="3">
        <v>422</v>
      </c>
      <c r="D71" s="23">
        <v>35674</v>
      </c>
      <c r="E71" s="3" t="s">
        <v>1</v>
      </c>
      <c r="F71" s="3" t="s">
        <v>1239</v>
      </c>
      <c r="G71" s="3">
        <v>3</v>
      </c>
      <c r="H71" s="3" t="s">
        <v>1766</v>
      </c>
      <c r="K71" s="23" t="s">
        <v>2245</v>
      </c>
      <c r="L71" s="23">
        <v>44414</v>
      </c>
      <c r="M71" s="23">
        <v>44472</v>
      </c>
      <c r="N71" s="23">
        <v>44422</v>
      </c>
      <c r="O71" s="23">
        <v>44486</v>
      </c>
      <c r="P71" s="23">
        <v>44574</v>
      </c>
      <c r="Q71" s="23">
        <v>44656</v>
      </c>
      <c r="R71" s="23">
        <v>44958</v>
      </c>
      <c r="S71" s="23">
        <v>45197</v>
      </c>
      <c r="T71" s="23">
        <v>45523</v>
      </c>
    </row>
    <row r="72" spans="1:21" ht="24" customHeight="1" thickTop="1" thickBot="1" x14ac:dyDescent="0.45">
      <c r="A72" s="40" t="s">
        <v>7</v>
      </c>
      <c r="B72" s="3" t="s">
        <v>2246</v>
      </c>
      <c r="C72" s="3">
        <v>367</v>
      </c>
      <c r="D72" s="23">
        <v>36377</v>
      </c>
      <c r="E72" s="3" t="s">
        <v>1</v>
      </c>
      <c r="F72" s="3" t="s">
        <v>1238</v>
      </c>
      <c r="G72" s="3">
        <v>3</v>
      </c>
      <c r="H72" s="3" t="s">
        <v>1766</v>
      </c>
      <c r="K72" s="23" t="s">
        <v>2247</v>
      </c>
      <c r="L72" s="23">
        <v>44328</v>
      </c>
      <c r="M72" s="23">
        <v>44334</v>
      </c>
      <c r="N72" s="23">
        <v>44387</v>
      </c>
      <c r="O72" s="23">
        <v>44387</v>
      </c>
      <c r="P72" s="23">
        <v>44390</v>
      </c>
      <c r="Q72" s="23" t="s">
        <v>2248</v>
      </c>
      <c r="R72" s="23" t="s">
        <v>2249</v>
      </c>
      <c r="S72" s="23">
        <v>45230</v>
      </c>
      <c r="T72" s="23">
        <v>45802</v>
      </c>
    </row>
    <row r="73" spans="1:21" ht="24" customHeight="1" thickTop="1" thickBot="1" x14ac:dyDescent="0.45">
      <c r="A73" s="40" t="s">
        <v>20</v>
      </c>
      <c r="B73" s="3" t="s">
        <v>2250</v>
      </c>
      <c r="C73" s="3">
        <v>407</v>
      </c>
      <c r="D73" s="23">
        <v>35390</v>
      </c>
      <c r="E73" s="3" t="s">
        <v>1</v>
      </c>
      <c r="F73" s="3" t="s">
        <v>1239</v>
      </c>
      <c r="G73" s="3">
        <v>4</v>
      </c>
      <c r="H73" s="3" t="s">
        <v>1766</v>
      </c>
      <c r="K73" s="43" t="s">
        <v>2251</v>
      </c>
      <c r="L73" s="61">
        <v>44409</v>
      </c>
      <c r="M73" s="23">
        <v>44410</v>
      </c>
      <c r="N73" s="23">
        <v>44411</v>
      </c>
      <c r="O73" s="23">
        <v>44464</v>
      </c>
      <c r="P73" s="23">
        <v>44508</v>
      </c>
      <c r="Q73" s="23">
        <v>44561</v>
      </c>
      <c r="R73" s="23">
        <v>45359</v>
      </c>
      <c r="S73" s="23">
        <v>45650</v>
      </c>
    </row>
    <row r="74" spans="1:21" ht="24" customHeight="1" thickTop="1" thickBot="1" x14ac:dyDescent="0.45">
      <c r="A74" s="40" t="s">
        <v>13</v>
      </c>
      <c r="B74" s="3" t="s">
        <v>2254</v>
      </c>
      <c r="C74" s="3">
        <v>619</v>
      </c>
      <c r="D74" s="23">
        <v>36213</v>
      </c>
      <c r="E74" s="3" t="s">
        <v>1</v>
      </c>
      <c r="F74" s="3" t="s">
        <v>1239</v>
      </c>
      <c r="G74" s="3">
        <v>5</v>
      </c>
      <c r="H74" s="3" t="s">
        <v>1766</v>
      </c>
      <c r="K74" s="23" t="s">
        <v>2255</v>
      </c>
      <c r="L74" s="23">
        <v>45188</v>
      </c>
      <c r="M74" s="23">
        <v>45190</v>
      </c>
      <c r="N74" s="23">
        <v>45197</v>
      </c>
      <c r="O74" s="23">
        <v>45215</v>
      </c>
      <c r="P74" s="23">
        <v>45272</v>
      </c>
      <c r="Q74" s="23">
        <v>45460</v>
      </c>
      <c r="R74" s="23">
        <v>45856</v>
      </c>
    </row>
    <row r="75" spans="1:21" ht="24" customHeight="1" thickTop="1" thickBot="1" x14ac:dyDescent="0.45">
      <c r="A75" s="40" t="s">
        <v>4</v>
      </c>
      <c r="B75" s="3" t="s">
        <v>2258</v>
      </c>
      <c r="C75" s="3">
        <v>649</v>
      </c>
      <c r="D75" s="23">
        <v>36448</v>
      </c>
      <c r="E75" s="3" t="s">
        <v>1</v>
      </c>
      <c r="F75" s="3" t="s">
        <v>1238</v>
      </c>
      <c r="G75" s="3">
        <v>5</v>
      </c>
      <c r="H75" s="3" t="s">
        <v>1766</v>
      </c>
      <c r="K75" s="23" t="s">
        <v>2259</v>
      </c>
      <c r="L75" s="23">
        <v>44742</v>
      </c>
      <c r="M75" s="23">
        <v>45258</v>
      </c>
      <c r="N75" s="23">
        <v>44748</v>
      </c>
      <c r="O75" s="23">
        <v>45011</v>
      </c>
      <c r="P75" s="23">
        <v>45180</v>
      </c>
      <c r="Q75" s="23">
        <v>45650</v>
      </c>
      <c r="R75" s="23">
        <v>45856</v>
      </c>
    </row>
    <row r="76" spans="1:21" ht="24" customHeight="1" thickTop="1" thickBot="1" x14ac:dyDescent="0.45">
      <c r="A76" s="40" t="s">
        <v>1690</v>
      </c>
      <c r="B76" s="3" t="s">
        <v>1697</v>
      </c>
      <c r="C76" s="3">
        <v>694</v>
      </c>
      <c r="D76" s="23">
        <v>36545</v>
      </c>
      <c r="E76" s="3" t="s">
        <v>1</v>
      </c>
      <c r="F76" s="3" t="s">
        <v>1239</v>
      </c>
      <c r="G76" s="3">
        <v>6</v>
      </c>
      <c r="H76" s="3" t="s">
        <v>1766</v>
      </c>
      <c r="K76" s="23" t="s">
        <v>2260</v>
      </c>
      <c r="L76" s="23">
        <v>45462</v>
      </c>
      <c r="M76" s="23">
        <v>45478</v>
      </c>
      <c r="N76" s="23">
        <v>45474</v>
      </c>
      <c r="O76" s="23">
        <v>45523</v>
      </c>
      <c r="P76" s="23">
        <v>45650</v>
      </c>
      <c r="Q76" s="23">
        <v>45985</v>
      </c>
    </row>
    <row r="77" spans="1:21" ht="24" customHeight="1" thickTop="1" thickBot="1" x14ac:dyDescent="0.45">
      <c r="A77" s="40" t="s">
        <v>23</v>
      </c>
      <c r="B77" s="3" t="s">
        <v>2261</v>
      </c>
      <c r="C77" s="3">
        <v>704</v>
      </c>
      <c r="D77" s="23">
        <v>36110</v>
      </c>
      <c r="E77" s="3" t="s">
        <v>1</v>
      </c>
      <c r="F77" s="3" t="s">
        <v>6</v>
      </c>
      <c r="G77" s="3">
        <v>6</v>
      </c>
      <c r="H77" s="3" t="s">
        <v>1766</v>
      </c>
      <c r="K77" s="23" t="s">
        <v>2262</v>
      </c>
      <c r="L77" s="23">
        <v>45492</v>
      </c>
      <c r="M77" s="23">
        <v>45507</v>
      </c>
      <c r="N77" s="23">
        <v>45523</v>
      </c>
      <c r="O77" s="23">
        <v>45540</v>
      </c>
      <c r="P77" s="23">
        <v>45650</v>
      </c>
      <c r="Q77" s="23">
        <v>45856</v>
      </c>
    </row>
    <row r="78" spans="1:21" ht="24" customHeight="1" thickTop="1" thickBot="1" x14ac:dyDescent="0.45">
      <c r="A78" s="40" t="s">
        <v>1696</v>
      </c>
      <c r="B78" s="3" t="s">
        <v>1700</v>
      </c>
      <c r="C78" s="3">
        <v>799</v>
      </c>
      <c r="D78" s="23">
        <v>36162</v>
      </c>
      <c r="E78" s="3" t="s">
        <v>1</v>
      </c>
      <c r="F78" s="3" t="s">
        <v>1238</v>
      </c>
      <c r="G78" s="3">
        <v>6</v>
      </c>
      <c r="H78" s="3" t="s">
        <v>1766</v>
      </c>
      <c r="K78" s="23" t="s">
        <v>2260</v>
      </c>
      <c r="L78" s="23">
        <v>45900</v>
      </c>
      <c r="M78" s="23">
        <v>45934</v>
      </c>
      <c r="N78" s="23">
        <v>45930</v>
      </c>
      <c r="O78" s="23">
        <v>45985</v>
      </c>
      <c r="P78" s="23">
        <v>46053</v>
      </c>
      <c r="Q78" s="23">
        <v>46237</v>
      </c>
    </row>
    <row r="79" spans="1:21" ht="24" customHeight="1" thickTop="1" thickBot="1" x14ac:dyDescent="0.45">
      <c r="A79" s="40" t="s">
        <v>2263</v>
      </c>
      <c r="B79" s="3" t="s">
        <v>2264</v>
      </c>
      <c r="C79" s="3">
        <v>695</v>
      </c>
      <c r="D79" s="23">
        <v>36904</v>
      </c>
      <c r="E79" s="3" t="s">
        <v>1</v>
      </c>
      <c r="F79" s="3" t="s">
        <v>6</v>
      </c>
      <c r="G79" s="3">
        <v>7</v>
      </c>
      <c r="H79" s="3" t="s">
        <v>1766</v>
      </c>
      <c r="K79" s="23" t="s">
        <v>2265</v>
      </c>
      <c r="L79" s="23">
        <v>45466</v>
      </c>
      <c r="M79" s="23">
        <v>45480</v>
      </c>
      <c r="N79" s="23">
        <v>45474</v>
      </c>
      <c r="O79" s="23">
        <v>45523</v>
      </c>
      <c r="P79" s="23">
        <v>45712</v>
      </c>
    </row>
    <row r="80" spans="1:21" ht="24" customHeight="1" thickTop="1" thickBot="1" x14ac:dyDescent="0.45">
      <c r="A80" s="40" t="s">
        <v>2266</v>
      </c>
      <c r="B80" s="3" t="s">
        <v>1759</v>
      </c>
      <c r="C80" s="3">
        <v>842</v>
      </c>
      <c r="D80" s="23">
        <v>36383</v>
      </c>
      <c r="E80" s="3" t="s">
        <v>1</v>
      </c>
      <c r="F80" s="3" t="s">
        <v>6</v>
      </c>
      <c r="G80" s="3">
        <v>8</v>
      </c>
      <c r="H80" s="3" t="s">
        <v>1766</v>
      </c>
      <c r="K80" s="23" t="s">
        <v>2262</v>
      </c>
      <c r="M80" s="23">
        <v>46169</v>
      </c>
      <c r="N80" s="23">
        <v>46148</v>
      </c>
      <c r="O80" s="23">
        <v>46263</v>
      </c>
    </row>
    <row r="81" spans="1:21" ht="24" customHeight="1" thickTop="1" thickBot="1" x14ac:dyDescent="0.45">
      <c r="A81" s="40" t="s">
        <v>2267</v>
      </c>
      <c r="B81" s="3" t="s">
        <v>2268</v>
      </c>
      <c r="C81" s="3">
        <v>6</v>
      </c>
      <c r="D81" s="23">
        <v>33474</v>
      </c>
      <c r="E81" s="3" t="s">
        <v>43</v>
      </c>
      <c r="F81" s="3" t="s">
        <v>6</v>
      </c>
      <c r="G81" s="3" t="s">
        <v>1277</v>
      </c>
      <c r="H81" s="3" t="s">
        <v>19</v>
      </c>
    </row>
    <row r="82" spans="1:21" ht="24" customHeight="1" thickTop="1" thickBot="1" x14ac:dyDescent="0.45">
      <c r="A82" s="40" t="s">
        <v>2269</v>
      </c>
      <c r="B82" s="3" t="s">
        <v>2270</v>
      </c>
      <c r="C82" s="3">
        <v>88</v>
      </c>
      <c r="D82" s="23">
        <v>34941</v>
      </c>
      <c r="E82" s="3" t="s">
        <v>43</v>
      </c>
      <c r="F82" s="3" t="s">
        <v>1239</v>
      </c>
      <c r="G82" s="3" t="s">
        <v>1262</v>
      </c>
      <c r="H82" s="3" t="s">
        <v>19</v>
      </c>
    </row>
    <row r="83" spans="1:21" ht="24" customHeight="1" thickTop="1" thickBot="1" x14ac:dyDescent="0.45">
      <c r="A83" s="40" t="s">
        <v>2271</v>
      </c>
      <c r="B83" s="3" t="s">
        <v>2272</v>
      </c>
      <c r="C83" s="3">
        <v>27</v>
      </c>
      <c r="D83" s="23">
        <v>33668</v>
      </c>
      <c r="E83" s="3" t="s">
        <v>43</v>
      </c>
      <c r="F83" s="3" t="s">
        <v>6</v>
      </c>
      <c r="G83" s="3" t="s">
        <v>1262</v>
      </c>
      <c r="H83" s="3" t="s">
        <v>19</v>
      </c>
    </row>
    <row r="84" spans="1:21" ht="24" customHeight="1" thickTop="1" thickBot="1" x14ac:dyDescent="0.45">
      <c r="A84" s="40" t="s">
        <v>2273</v>
      </c>
      <c r="B84" s="3" t="s">
        <v>2274</v>
      </c>
      <c r="C84" s="3">
        <v>156</v>
      </c>
      <c r="D84" s="23">
        <v>34646</v>
      </c>
      <c r="E84" s="3" t="s">
        <v>43</v>
      </c>
      <c r="F84" s="3" t="s">
        <v>6</v>
      </c>
      <c r="G84" s="3" t="s">
        <v>1262</v>
      </c>
      <c r="H84" s="3" t="s">
        <v>19</v>
      </c>
    </row>
    <row r="85" spans="1:21" ht="24" customHeight="1" thickTop="1" thickBot="1" x14ac:dyDescent="0.45">
      <c r="A85" s="40" t="s">
        <v>2275</v>
      </c>
      <c r="B85" s="3" t="s">
        <v>2276</v>
      </c>
      <c r="C85" s="3">
        <v>130</v>
      </c>
      <c r="D85" s="23">
        <v>33892</v>
      </c>
      <c r="E85" s="3" t="s">
        <v>43</v>
      </c>
      <c r="F85" s="3" t="s">
        <v>1238</v>
      </c>
      <c r="G85" s="3" t="s">
        <v>1262</v>
      </c>
      <c r="H85" s="3" t="s">
        <v>19</v>
      </c>
      <c r="K85" s="43"/>
      <c r="L85" s="61"/>
    </row>
    <row r="86" spans="1:21" ht="24" customHeight="1" thickTop="1" thickBot="1" x14ac:dyDescent="0.45">
      <c r="A86" s="40" t="s">
        <v>2277</v>
      </c>
      <c r="B86" s="3" t="s">
        <v>2278</v>
      </c>
      <c r="C86" s="3">
        <v>135</v>
      </c>
      <c r="D86" s="23">
        <v>34394</v>
      </c>
      <c r="E86" s="3" t="s">
        <v>43</v>
      </c>
      <c r="F86" s="3" t="s">
        <v>1239</v>
      </c>
      <c r="G86" s="3" t="s">
        <v>1261</v>
      </c>
      <c r="H86" s="3" t="s">
        <v>19</v>
      </c>
    </row>
    <row r="87" spans="1:21" ht="24" customHeight="1" thickTop="1" thickBot="1" x14ac:dyDescent="0.45">
      <c r="A87" s="40" t="s">
        <v>2279</v>
      </c>
      <c r="B87" s="3" t="s">
        <v>2280</v>
      </c>
      <c r="C87" s="3">
        <v>150</v>
      </c>
      <c r="D87" s="23">
        <v>33935</v>
      </c>
      <c r="E87" s="3" t="s">
        <v>43</v>
      </c>
      <c r="F87" s="3" t="s">
        <v>1238</v>
      </c>
      <c r="G87" s="3" t="s">
        <v>1248</v>
      </c>
      <c r="H87" s="3" t="s">
        <v>19</v>
      </c>
    </row>
    <row r="88" spans="1:21" ht="24" customHeight="1" thickTop="1" thickBot="1" x14ac:dyDescent="0.45">
      <c r="A88" s="40" t="s">
        <v>2281</v>
      </c>
      <c r="B88" s="3" t="s">
        <v>2282</v>
      </c>
      <c r="C88" s="3">
        <v>6218</v>
      </c>
      <c r="D88" s="23">
        <v>32838</v>
      </c>
      <c r="E88" s="3" t="s">
        <v>43</v>
      </c>
      <c r="F88" s="3" t="s">
        <v>1238</v>
      </c>
      <c r="G88" s="3">
        <v>0</v>
      </c>
      <c r="H88" s="3" t="s">
        <v>19</v>
      </c>
    </row>
    <row r="89" spans="1:21" ht="24" customHeight="1" thickTop="1" thickBot="1" x14ac:dyDescent="0.45">
      <c r="A89" s="40" t="s">
        <v>2283</v>
      </c>
      <c r="B89" s="3" t="s">
        <v>2284</v>
      </c>
      <c r="C89" s="3">
        <v>6469</v>
      </c>
      <c r="D89" s="23">
        <v>33965</v>
      </c>
      <c r="E89" s="3" t="s">
        <v>43</v>
      </c>
      <c r="F89" s="3" t="s">
        <v>6</v>
      </c>
      <c r="G89" s="3">
        <v>8</v>
      </c>
      <c r="H89" s="3" t="s">
        <v>19</v>
      </c>
      <c r="I89" s="3" t="s">
        <v>38</v>
      </c>
    </row>
    <row r="90" spans="1:21" ht="24" customHeight="1" thickTop="1" thickBot="1" x14ac:dyDescent="0.45">
      <c r="A90" s="40" t="s">
        <v>2285</v>
      </c>
      <c r="B90" s="3" t="s">
        <v>2286</v>
      </c>
      <c r="C90" s="3">
        <v>6473</v>
      </c>
      <c r="D90" s="23">
        <v>31035</v>
      </c>
      <c r="E90" s="3" t="s">
        <v>43</v>
      </c>
      <c r="F90" s="3" t="s">
        <v>1238</v>
      </c>
      <c r="G90" s="3">
        <v>8</v>
      </c>
      <c r="H90" s="3" t="s">
        <v>19</v>
      </c>
      <c r="I90" s="3" t="s">
        <v>38</v>
      </c>
    </row>
    <row r="91" spans="1:21" ht="24" customHeight="1" thickTop="1" thickBot="1" x14ac:dyDescent="0.45">
      <c r="A91" s="40" t="s">
        <v>2287</v>
      </c>
      <c r="B91" s="3" t="s">
        <v>2288</v>
      </c>
      <c r="C91" s="3">
        <v>444</v>
      </c>
      <c r="D91" s="23">
        <v>35367</v>
      </c>
      <c r="E91" s="3" t="s">
        <v>1</v>
      </c>
      <c r="F91" s="3" t="s">
        <v>6</v>
      </c>
      <c r="G91" s="3">
        <v>2</v>
      </c>
      <c r="H91" s="3" t="s">
        <v>19</v>
      </c>
      <c r="K91" s="23" t="s">
        <v>1099</v>
      </c>
      <c r="L91" s="23">
        <v>44514</v>
      </c>
      <c r="M91" s="23">
        <v>44525</v>
      </c>
      <c r="N91" s="23">
        <v>44522</v>
      </c>
      <c r="O91" s="23">
        <v>44541</v>
      </c>
      <c r="P91" s="23">
        <v>44574</v>
      </c>
      <c r="Q91" s="23">
        <v>44619</v>
      </c>
      <c r="R91" s="23">
        <v>44728</v>
      </c>
      <c r="S91" s="23">
        <v>45011</v>
      </c>
      <c r="T91" s="23">
        <v>45258</v>
      </c>
      <c r="U91" s="23">
        <v>45985</v>
      </c>
    </row>
    <row r="92" spans="1:21" ht="24" customHeight="1" thickTop="1" thickBot="1" x14ac:dyDescent="0.45">
      <c r="A92" s="40" t="s">
        <v>2289</v>
      </c>
      <c r="B92" s="3" t="s">
        <v>2290</v>
      </c>
      <c r="C92" s="3">
        <v>384</v>
      </c>
      <c r="D92" s="23">
        <v>36277</v>
      </c>
      <c r="E92" s="3" t="s">
        <v>1</v>
      </c>
      <c r="F92" s="3" t="s">
        <v>1238</v>
      </c>
      <c r="G92" s="3">
        <v>3</v>
      </c>
      <c r="H92" s="3" t="s">
        <v>19</v>
      </c>
      <c r="K92" s="23" t="s">
        <v>2291</v>
      </c>
      <c r="L92" s="23">
        <v>44362</v>
      </c>
      <c r="M92" s="23">
        <v>44367</v>
      </c>
      <c r="N92" s="23">
        <v>44387</v>
      </c>
      <c r="O92" s="23">
        <v>44387</v>
      </c>
      <c r="P92" s="23">
        <v>44414</v>
      </c>
      <c r="Q92" s="23">
        <v>44516</v>
      </c>
      <c r="R92" s="23">
        <v>44635</v>
      </c>
      <c r="S92" s="23">
        <v>45215</v>
      </c>
      <c r="T92" s="23">
        <v>45650</v>
      </c>
    </row>
    <row r="93" spans="1:21" ht="24" customHeight="1" thickTop="1" thickBot="1" x14ac:dyDescent="0.45">
      <c r="A93" s="40" t="s">
        <v>2292</v>
      </c>
      <c r="B93" s="3" t="s">
        <v>2293</v>
      </c>
      <c r="C93" s="3">
        <v>573</v>
      </c>
      <c r="D93" s="23">
        <v>36193</v>
      </c>
      <c r="E93" s="3" t="s">
        <v>1</v>
      </c>
      <c r="F93" s="3" t="s">
        <v>1239</v>
      </c>
      <c r="G93" s="3">
        <v>5</v>
      </c>
      <c r="H93" s="3" t="s">
        <v>19</v>
      </c>
      <c r="K93" s="23" t="s">
        <v>1390</v>
      </c>
      <c r="L93" s="23">
        <v>44944</v>
      </c>
      <c r="M93" s="23">
        <v>44954</v>
      </c>
      <c r="N93" s="23">
        <v>44958</v>
      </c>
      <c r="O93" s="23">
        <v>44974</v>
      </c>
      <c r="P93" s="23">
        <v>45103</v>
      </c>
      <c r="Q93" s="23">
        <v>45272</v>
      </c>
      <c r="R93" s="23">
        <v>45856</v>
      </c>
    </row>
    <row r="94" spans="1:21" ht="24" customHeight="1" thickTop="1" thickBot="1" x14ac:dyDescent="0.45">
      <c r="A94" s="40" t="s">
        <v>2294</v>
      </c>
      <c r="B94" s="3" t="s">
        <v>2295</v>
      </c>
      <c r="C94" s="3">
        <v>556</v>
      </c>
      <c r="D94" s="23">
        <v>35111</v>
      </c>
      <c r="E94" s="3" t="s">
        <v>1</v>
      </c>
      <c r="F94" s="3" t="s">
        <v>6</v>
      </c>
      <c r="G94" s="3">
        <v>5</v>
      </c>
      <c r="H94" s="3" t="s">
        <v>19</v>
      </c>
      <c r="K94" s="23" t="s">
        <v>2296</v>
      </c>
      <c r="L94" s="23">
        <v>44926</v>
      </c>
      <c r="M94" s="23">
        <v>44932</v>
      </c>
      <c r="N94" s="23">
        <v>44884</v>
      </c>
      <c r="O94" s="23">
        <v>44942</v>
      </c>
      <c r="P94" s="23">
        <v>45049</v>
      </c>
      <c r="Q94" s="23">
        <v>45392</v>
      </c>
      <c r="R94" s="23">
        <v>45930</v>
      </c>
    </row>
    <row r="95" spans="1:21" ht="24" customHeight="1" thickTop="1" thickBot="1" x14ac:dyDescent="0.45">
      <c r="A95" s="40" t="s">
        <v>2297</v>
      </c>
      <c r="B95" s="3" t="s">
        <v>2298</v>
      </c>
      <c r="C95" s="3">
        <v>552</v>
      </c>
      <c r="D95" s="23">
        <v>35574</v>
      </c>
      <c r="E95" s="3" t="s">
        <v>1</v>
      </c>
      <c r="F95" s="3" t="s">
        <v>1238</v>
      </c>
      <c r="G95" s="3">
        <v>5</v>
      </c>
      <c r="H95" s="3" t="s">
        <v>19</v>
      </c>
      <c r="K95" s="23" t="s">
        <v>2299</v>
      </c>
      <c r="L95" s="23">
        <v>44728</v>
      </c>
      <c r="M95" s="23">
        <v>44803</v>
      </c>
      <c r="N95" s="23">
        <v>44728</v>
      </c>
      <c r="O95" s="23">
        <v>44849</v>
      </c>
      <c r="P95" s="23">
        <v>44925</v>
      </c>
      <c r="Q95" s="23">
        <v>45029</v>
      </c>
      <c r="R95" s="23">
        <v>45163</v>
      </c>
    </row>
    <row r="96" spans="1:21" ht="24" customHeight="1" thickTop="1" thickBot="1" x14ac:dyDescent="0.45">
      <c r="A96" s="40" t="s">
        <v>2300</v>
      </c>
      <c r="B96" s="3" t="s">
        <v>2301</v>
      </c>
      <c r="C96" s="3">
        <v>534</v>
      </c>
      <c r="D96" s="23">
        <v>35401</v>
      </c>
      <c r="E96" s="3" t="s">
        <v>1</v>
      </c>
      <c r="F96" s="3" t="s">
        <v>1239</v>
      </c>
      <c r="G96" s="3">
        <v>6</v>
      </c>
      <c r="H96" s="3" t="s">
        <v>19</v>
      </c>
      <c r="K96" s="23" t="s">
        <v>2302</v>
      </c>
      <c r="L96" s="23">
        <v>44711</v>
      </c>
      <c r="M96" s="23">
        <v>44749</v>
      </c>
      <c r="N96" s="23">
        <v>44728</v>
      </c>
      <c r="O96" s="23">
        <v>44748</v>
      </c>
      <c r="P96" s="23">
        <v>44942</v>
      </c>
      <c r="Q96" s="23">
        <v>45215</v>
      </c>
    </row>
    <row r="97" spans="1:22" ht="24" customHeight="1" thickTop="1" thickBot="1" x14ac:dyDescent="0.45">
      <c r="A97" s="40" t="s">
        <v>2303</v>
      </c>
      <c r="B97" s="3" t="s">
        <v>2304</v>
      </c>
      <c r="C97" s="3">
        <v>667</v>
      </c>
      <c r="D97" s="23">
        <v>35543</v>
      </c>
      <c r="E97" s="3" t="s">
        <v>1</v>
      </c>
      <c r="F97" s="3" t="s">
        <v>1238</v>
      </c>
      <c r="G97" s="3">
        <v>6</v>
      </c>
      <c r="H97" s="3" t="s">
        <v>19</v>
      </c>
      <c r="K97" s="23" t="s">
        <v>2305</v>
      </c>
      <c r="L97" s="23">
        <v>45361</v>
      </c>
      <c r="M97" s="23">
        <v>45378</v>
      </c>
      <c r="N97" s="23">
        <v>45376</v>
      </c>
      <c r="O97" s="23">
        <v>45392</v>
      </c>
      <c r="P97" s="23">
        <v>45523</v>
      </c>
      <c r="Q97" s="23">
        <v>45930</v>
      </c>
    </row>
    <row r="98" spans="1:22" ht="24" customHeight="1" thickTop="1" thickBot="1" x14ac:dyDescent="0.45">
      <c r="A98" s="40" t="s">
        <v>2306</v>
      </c>
      <c r="B98" s="3" t="s">
        <v>2307</v>
      </c>
      <c r="C98" s="3">
        <v>789</v>
      </c>
      <c r="D98" s="23">
        <v>38047</v>
      </c>
      <c r="E98" s="3" t="s">
        <v>1</v>
      </c>
      <c r="F98" s="3" t="s">
        <v>1239</v>
      </c>
      <c r="G98" s="3">
        <v>7</v>
      </c>
      <c r="H98" s="3" t="s">
        <v>19</v>
      </c>
      <c r="K98" s="23" t="s">
        <v>19</v>
      </c>
      <c r="L98" s="23">
        <v>45853</v>
      </c>
      <c r="M98" s="23">
        <v>45903</v>
      </c>
      <c r="N98" s="23">
        <v>45856</v>
      </c>
      <c r="O98" s="23">
        <v>45897</v>
      </c>
      <c r="P98" s="23">
        <v>45985</v>
      </c>
    </row>
    <row r="99" spans="1:22" ht="24" customHeight="1" thickTop="1" thickBot="1" x14ac:dyDescent="0.45">
      <c r="A99" s="40" t="s">
        <v>2308</v>
      </c>
      <c r="B99" s="3" t="s">
        <v>1240</v>
      </c>
      <c r="C99" s="3">
        <v>807</v>
      </c>
      <c r="D99" s="23">
        <v>35580</v>
      </c>
      <c r="E99" s="3" t="s">
        <v>1</v>
      </c>
      <c r="F99" s="3" t="s">
        <v>6</v>
      </c>
      <c r="G99" s="3">
        <v>8</v>
      </c>
      <c r="H99" s="3" t="s">
        <v>19</v>
      </c>
      <c r="K99" s="23" t="s">
        <v>19</v>
      </c>
      <c r="L99" s="23">
        <v>45977</v>
      </c>
      <c r="M99" s="23">
        <v>45997</v>
      </c>
      <c r="N99" s="23">
        <v>46019</v>
      </c>
      <c r="O99" s="23">
        <v>46076</v>
      </c>
    </row>
    <row r="100" spans="1:22" ht="24" customHeight="1" thickTop="1" thickBot="1" x14ac:dyDescent="0.45">
      <c r="A100" s="40" t="s">
        <v>2309</v>
      </c>
      <c r="B100" s="3" t="s">
        <v>1464</v>
      </c>
      <c r="C100" s="3">
        <v>827</v>
      </c>
      <c r="D100" s="23">
        <v>37777</v>
      </c>
      <c r="E100" s="3" t="s">
        <v>1</v>
      </c>
      <c r="F100" s="3" t="s">
        <v>6</v>
      </c>
      <c r="G100" s="3">
        <v>8</v>
      </c>
      <c r="H100" s="3" t="s">
        <v>19</v>
      </c>
      <c r="K100" s="23" t="s">
        <v>19</v>
      </c>
      <c r="M100" s="23">
        <v>46071</v>
      </c>
      <c r="N100" s="23">
        <v>46053</v>
      </c>
      <c r="O100" s="23">
        <v>46167</v>
      </c>
    </row>
    <row r="101" spans="1:22" ht="24" customHeight="1" thickTop="1" thickBot="1" x14ac:dyDescent="0.45">
      <c r="A101" s="40" t="s">
        <v>2310</v>
      </c>
      <c r="B101" s="3" t="s">
        <v>1463</v>
      </c>
      <c r="C101" s="3">
        <v>825</v>
      </c>
      <c r="D101" s="23">
        <v>37573</v>
      </c>
      <c r="E101" s="3" t="s">
        <v>1</v>
      </c>
      <c r="F101" s="3" t="s">
        <v>1238</v>
      </c>
      <c r="G101" s="3">
        <v>8</v>
      </c>
      <c r="H101" s="3" t="s">
        <v>19</v>
      </c>
      <c r="K101" s="23" t="s">
        <v>19</v>
      </c>
      <c r="L101" s="23">
        <v>46041</v>
      </c>
      <c r="M101" s="23">
        <v>46069</v>
      </c>
      <c r="N101" s="23">
        <v>46053</v>
      </c>
      <c r="O101" s="23">
        <v>46124</v>
      </c>
    </row>
    <row r="102" spans="1:22" ht="24" customHeight="1" thickTop="1" thickBot="1" x14ac:dyDescent="0.45">
      <c r="A102" s="40" t="s">
        <v>2311</v>
      </c>
      <c r="B102" s="3" t="s">
        <v>2312</v>
      </c>
      <c r="C102" s="3">
        <v>145</v>
      </c>
      <c r="D102" s="23">
        <v>35514</v>
      </c>
      <c r="E102" s="3" t="s">
        <v>43</v>
      </c>
      <c r="F102" s="3" t="s">
        <v>6</v>
      </c>
      <c r="G102" s="3" t="s">
        <v>1262</v>
      </c>
      <c r="H102" s="3" t="s">
        <v>35</v>
      </c>
    </row>
    <row r="103" spans="1:22" ht="24" customHeight="1" thickTop="1" thickBot="1" x14ac:dyDescent="0.45">
      <c r="A103" s="40" t="s">
        <v>2313</v>
      </c>
      <c r="B103" s="3" t="s">
        <v>2314</v>
      </c>
      <c r="C103" s="3">
        <v>141</v>
      </c>
      <c r="D103" s="23">
        <v>35772</v>
      </c>
      <c r="E103" s="3" t="s">
        <v>43</v>
      </c>
      <c r="F103" s="3" t="s">
        <v>1238</v>
      </c>
      <c r="G103" s="3" t="s">
        <v>1262</v>
      </c>
      <c r="H103" s="3" t="s">
        <v>35</v>
      </c>
    </row>
    <row r="104" spans="1:22" ht="24" customHeight="1" thickTop="1" thickBot="1" x14ac:dyDescent="0.45">
      <c r="A104" s="40" t="s">
        <v>60</v>
      </c>
      <c r="B104" s="3" t="s">
        <v>2315</v>
      </c>
      <c r="C104" s="3">
        <v>51</v>
      </c>
      <c r="D104" s="23">
        <v>31829</v>
      </c>
      <c r="E104" s="3" t="s">
        <v>43</v>
      </c>
      <c r="F104" s="3" t="s">
        <v>1239</v>
      </c>
      <c r="G104" s="3" t="s">
        <v>1261</v>
      </c>
      <c r="H104" s="3" t="s">
        <v>35</v>
      </c>
    </row>
    <row r="105" spans="1:22" ht="24" customHeight="1" thickTop="1" thickBot="1" x14ac:dyDescent="0.45">
      <c r="A105" s="40" t="s">
        <v>2316</v>
      </c>
      <c r="B105" s="3" t="s">
        <v>2317</v>
      </c>
      <c r="C105" s="3">
        <v>89</v>
      </c>
      <c r="D105" s="23">
        <v>33742</v>
      </c>
      <c r="E105" s="3" t="s">
        <v>43</v>
      </c>
      <c r="F105" s="3" t="s">
        <v>6</v>
      </c>
      <c r="G105" s="3" t="s">
        <v>1261</v>
      </c>
      <c r="H105" s="3" t="s">
        <v>35</v>
      </c>
    </row>
    <row r="106" spans="1:22" ht="24" customHeight="1" thickTop="1" thickBot="1" x14ac:dyDescent="0.45">
      <c r="A106" s="40" t="s">
        <v>2318</v>
      </c>
      <c r="B106" s="3" t="s">
        <v>2319</v>
      </c>
      <c r="C106" s="3">
        <v>178</v>
      </c>
      <c r="D106" s="23">
        <v>31764</v>
      </c>
      <c r="E106" s="3" t="s">
        <v>43</v>
      </c>
      <c r="F106" s="3" t="s">
        <v>6</v>
      </c>
      <c r="G106" s="3" t="s">
        <v>1248</v>
      </c>
      <c r="H106" s="3" t="s">
        <v>35</v>
      </c>
    </row>
    <row r="107" spans="1:22" ht="24" customHeight="1" thickTop="1" thickBot="1" x14ac:dyDescent="0.45">
      <c r="A107" s="40" t="s">
        <v>49</v>
      </c>
      <c r="B107" s="3" t="s">
        <v>2320</v>
      </c>
      <c r="C107" s="3">
        <v>6467</v>
      </c>
      <c r="D107" s="23">
        <v>34513</v>
      </c>
      <c r="E107" s="3" t="s">
        <v>43</v>
      </c>
      <c r="F107" s="3" t="s">
        <v>1238</v>
      </c>
      <c r="G107" s="3">
        <v>8</v>
      </c>
      <c r="H107" s="3" t="s">
        <v>35</v>
      </c>
      <c r="I107" s="3" t="s">
        <v>38</v>
      </c>
      <c r="N107" s="23">
        <v>45776</v>
      </c>
    </row>
    <row r="108" spans="1:22" ht="24" customHeight="1" thickTop="1" thickBot="1" x14ac:dyDescent="0.45">
      <c r="A108" s="40" t="s">
        <v>2321</v>
      </c>
      <c r="B108" s="3" t="s">
        <v>2322</v>
      </c>
      <c r="C108" s="3">
        <v>279</v>
      </c>
      <c r="D108" s="23">
        <v>32616</v>
      </c>
      <c r="E108" s="3" t="s">
        <v>1</v>
      </c>
      <c r="F108" s="3" t="s">
        <v>1238</v>
      </c>
      <c r="G108" s="3">
        <v>1</v>
      </c>
      <c r="H108" s="3" t="s">
        <v>35</v>
      </c>
      <c r="K108" s="23" t="s">
        <v>2323</v>
      </c>
      <c r="L108" s="23">
        <v>42760</v>
      </c>
      <c r="M108" s="23">
        <v>43614</v>
      </c>
      <c r="N108" s="23">
        <v>44474</v>
      </c>
      <c r="U108" s="23">
        <v>44474</v>
      </c>
      <c r="V108" s="23">
        <v>45832</v>
      </c>
    </row>
    <row r="109" spans="1:22" ht="24" customHeight="1" thickTop="1" thickBot="1" x14ac:dyDescent="0.45">
      <c r="A109" s="40" t="s">
        <v>2324</v>
      </c>
      <c r="B109" s="3" t="s">
        <v>2325</v>
      </c>
      <c r="C109" s="3">
        <v>216</v>
      </c>
      <c r="D109" s="23">
        <v>33203</v>
      </c>
      <c r="E109" s="3" t="s">
        <v>1</v>
      </c>
      <c r="F109" s="3" t="s">
        <v>1238</v>
      </c>
      <c r="G109" s="3">
        <v>3</v>
      </c>
      <c r="H109" s="3" t="s">
        <v>35</v>
      </c>
      <c r="K109" s="23" t="s">
        <v>2326</v>
      </c>
      <c r="L109" s="23">
        <v>43306</v>
      </c>
      <c r="M109" s="23">
        <v>43306</v>
      </c>
      <c r="N109" s="23">
        <v>44484</v>
      </c>
      <c r="S109" s="23">
        <v>44484</v>
      </c>
      <c r="T109" s="23">
        <v>45011</v>
      </c>
    </row>
    <row r="110" spans="1:22" ht="24" customHeight="1" thickTop="1" thickBot="1" x14ac:dyDescent="0.45">
      <c r="A110" s="40" t="s">
        <v>2327</v>
      </c>
      <c r="B110" s="3" t="s">
        <v>2328</v>
      </c>
      <c r="C110" s="3">
        <v>474</v>
      </c>
      <c r="D110" s="23">
        <v>35934</v>
      </c>
      <c r="E110" s="3" t="s">
        <v>1</v>
      </c>
      <c r="F110" s="3" t="s">
        <v>1239</v>
      </c>
      <c r="G110" s="3">
        <v>4</v>
      </c>
      <c r="H110" s="3" t="s">
        <v>35</v>
      </c>
      <c r="K110" s="23" t="s">
        <v>2329</v>
      </c>
      <c r="L110" s="23">
        <v>44593</v>
      </c>
      <c r="M110" s="23">
        <v>44593</v>
      </c>
      <c r="N110" s="23">
        <v>44599</v>
      </c>
      <c r="O110" s="23">
        <v>44599</v>
      </c>
      <c r="P110" s="23">
        <v>44627</v>
      </c>
      <c r="Q110" s="23">
        <v>45163</v>
      </c>
      <c r="R110" s="23">
        <v>45446</v>
      </c>
      <c r="S110" s="23">
        <v>45930</v>
      </c>
    </row>
    <row r="111" spans="1:22" ht="24" customHeight="1" thickTop="1" thickBot="1" x14ac:dyDescent="0.45">
      <c r="A111" s="40" t="s">
        <v>2330</v>
      </c>
      <c r="B111" s="3" t="s">
        <v>2331</v>
      </c>
      <c r="C111" s="3">
        <v>621</v>
      </c>
      <c r="D111" s="23">
        <v>35342</v>
      </c>
      <c r="E111" s="3" t="s">
        <v>1</v>
      </c>
      <c r="F111" s="3" t="s">
        <v>6</v>
      </c>
      <c r="G111" s="3">
        <v>5</v>
      </c>
      <c r="H111" s="3" t="s">
        <v>35</v>
      </c>
      <c r="K111" s="23" t="s">
        <v>1389</v>
      </c>
      <c r="L111" s="23">
        <v>45145</v>
      </c>
      <c r="M111" s="23">
        <v>45192</v>
      </c>
      <c r="N111" s="23">
        <v>45151</v>
      </c>
      <c r="O111" s="23">
        <v>45180</v>
      </c>
      <c r="P111" s="23">
        <v>45272</v>
      </c>
      <c r="Q111" s="23">
        <v>45523</v>
      </c>
      <c r="R111" s="23">
        <v>46076</v>
      </c>
    </row>
    <row r="112" spans="1:22" ht="24" customHeight="1" thickTop="1" thickBot="1" x14ac:dyDescent="0.45">
      <c r="A112" s="40" t="s">
        <v>2332</v>
      </c>
      <c r="B112" s="3" t="s">
        <v>1383</v>
      </c>
      <c r="C112" s="3">
        <v>811</v>
      </c>
      <c r="D112" s="23">
        <v>35224</v>
      </c>
      <c r="E112" s="3" t="s">
        <v>1</v>
      </c>
      <c r="F112" s="3" t="s">
        <v>6</v>
      </c>
      <c r="G112" s="3">
        <v>5</v>
      </c>
      <c r="H112" s="3" t="s">
        <v>35</v>
      </c>
      <c r="K112" s="23" t="s">
        <v>2333</v>
      </c>
      <c r="M112" s="23">
        <v>46006</v>
      </c>
    </row>
    <row r="113" spans="1:22" ht="24" customHeight="1" thickTop="1" thickBot="1" x14ac:dyDescent="0.45">
      <c r="A113" s="40" t="s">
        <v>2334</v>
      </c>
      <c r="B113" s="3" t="s">
        <v>2335</v>
      </c>
      <c r="C113" s="3">
        <v>608</v>
      </c>
      <c r="D113" s="23">
        <v>33794</v>
      </c>
      <c r="E113" s="3" t="s">
        <v>1</v>
      </c>
      <c r="F113" s="3" t="s">
        <v>1238</v>
      </c>
      <c r="G113" s="3">
        <v>6</v>
      </c>
      <c r="H113" s="3" t="s">
        <v>35</v>
      </c>
      <c r="K113" s="23" t="s">
        <v>2336</v>
      </c>
      <c r="L113" s="23">
        <v>45106</v>
      </c>
      <c r="M113" s="23">
        <v>45115</v>
      </c>
      <c r="N113" s="23">
        <v>45117</v>
      </c>
      <c r="O113" s="23">
        <v>45151</v>
      </c>
      <c r="P113" s="23">
        <v>45258</v>
      </c>
      <c r="Q113" s="23">
        <v>45523</v>
      </c>
    </row>
    <row r="114" spans="1:22" ht="24" customHeight="1" thickTop="1" thickBot="1" x14ac:dyDescent="0.45">
      <c r="A114" s="40" t="s">
        <v>2337</v>
      </c>
      <c r="B114" s="3" t="s">
        <v>2338</v>
      </c>
      <c r="C114" s="3">
        <v>693</v>
      </c>
      <c r="D114" s="23">
        <v>35680</v>
      </c>
      <c r="E114" s="3" t="s">
        <v>1</v>
      </c>
      <c r="F114" s="3" t="s">
        <v>1239</v>
      </c>
      <c r="G114" s="3">
        <v>7</v>
      </c>
      <c r="H114" s="3" t="s">
        <v>35</v>
      </c>
      <c r="K114" s="23" t="s">
        <v>2339</v>
      </c>
      <c r="L114" s="23">
        <v>45455</v>
      </c>
      <c r="M114" s="23">
        <v>45474</v>
      </c>
      <c r="N114" s="23">
        <v>45460</v>
      </c>
      <c r="O114" s="23">
        <v>45540</v>
      </c>
      <c r="P114" s="23">
        <v>45897</v>
      </c>
    </row>
    <row r="115" spans="1:22" ht="24" customHeight="1" thickTop="1" thickBot="1" x14ac:dyDescent="0.45">
      <c r="A115" s="40" t="s">
        <v>2340</v>
      </c>
      <c r="B115" s="3" t="s">
        <v>2341</v>
      </c>
      <c r="C115" s="3">
        <v>675</v>
      </c>
      <c r="D115" s="23">
        <v>34867</v>
      </c>
      <c r="E115" s="3" t="s">
        <v>1</v>
      </c>
      <c r="F115" s="3" t="s">
        <v>6</v>
      </c>
      <c r="G115" s="3">
        <v>7</v>
      </c>
      <c r="H115" s="3" t="s">
        <v>35</v>
      </c>
      <c r="K115" s="23" t="s">
        <v>2342</v>
      </c>
      <c r="M115" s="23">
        <v>45406</v>
      </c>
      <c r="N115" s="23">
        <v>45411</v>
      </c>
    </row>
    <row r="116" spans="1:22" ht="24" customHeight="1" thickTop="1" thickBot="1" x14ac:dyDescent="0.45">
      <c r="A116" s="40" t="s">
        <v>2343</v>
      </c>
      <c r="B116" s="3" t="s">
        <v>2344</v>
      </c>
      <c r="C116" s="3">
        <v>748</v>
      </c>
      <c r="D116" s="23">
        <v>35573</v>
      </c>
      <c r="E116" s="3" t="s">
        <v>1</v>
      </c>
      <c r="F116" s="3" t="s">
        <v>6</v>
      </c>
      <c r="G116" s="3">
        <v>8</v>
      </c>
      <c r="H116" s="3" t="s">
        <v>35</v>
      </c>
      <c r="K116" s="23" t="s">
        <v>35</v>
      </c>
      <c r="L116" s="23">
        <v>45710</v>
      </c>
      <c r="M116" s="23">
        <v>45761</v>
      </c>
      <c r="O116" s="23">
        <v>45802</v>
      </c>
    </row>
    <row r="117" spans="1:22" ht="24" customHeight="1" thickTop="1" thickBot="1" x14ac:dyDescent="0.45">
      <c r="A117" s="40" t="s">
        <v>2345</v>
      </c>
      <c r="B117" s="3" t="s">
        <v>2346</v>
      </c>
      <c r="C117" s="3">
        <v>733</v>
      </c>
      <c r="D117" s="23">
        <v>35385</v>
      </c>
      <c r="E117" s="3" t="s">
        <v>1</v>
      </c>
      <c r="F117" s="3" t="s">
        <v>1238</v>
      </c>
      <c r="G117" s="3">
        <v>8</v>
      </c>
      <c r="H117" s="3" t="s">
        <v>35</v>
      </c>
      <c r="K117" s="23" t="s">
        <v>1004</v>
      </c>
      <c r="L117" s="23">
        <v>45574</v>
      </c>
      <c r="M117" s="23">
        <v>45661</v>
      </c>
      <c r="N117" s="23">
        <v>45650</v>
      </c>
      <c r="O117" s="23">
        <v>45693</v>
      </c>
    </row>
    <row r="118" spans="1:22" ht="24" customHeight="1" thickTop="1" thickBot="1" x14ac:dyDescent="0.45">
      <c r="A118" s="40" t="s">
        <v>2347</v>
      </c>
      <c r="B118" s="3" t="s">
        <v>1777</v>
      </c>
      <c r="C118" s="3">
        <v>851</v>
      </c>
      <c r="D118" s="23">
        <v>38534</v>
      </c>
      <c r="E118" s="3" t="s">
        <v>1</v>
      </c>
      <c r="F118" s="3" t="s">
        <v>1238</v>
      </c>
      <c r="G118" s="3" t="s">
        <v>2140</v>
      </c>
      <c r="H118" s="3" t="s">
        <v>35</v>
      </c>
      <c r="K118" s="23" t="s">
        <v>35</v>
      </c>
      <c r="M118" s="23">
        <v>46240</v>
      </c>
      <c r="N118" s="23">
        <v>46208</v>
      </c>
    </row>
    <row r="119" spans="1:22" ht="24" customHeight="1" thickTop="1" thickBot="1" x14ac:dyDescent="0.45">
      <c r="A119" s="40" t="s">
        <v>56</v>
      </c>
      <c r="B119" s="3" t="s">
        <v>2348</v>
      </c>
      <c r="C119" s="3">
        <v>100</v>
      </c>
      <c r="D119" s="23">
        <v>32833</v>
      </c>
      <c r="E119" s="3" t="s">
        <v>43</v>
      </c>
      <c r="F119" s="3" t="s">
        <v>1239</v>
      </c>
      <c r="G119" s="3" t="s">
        <v>1277</v>
      </c>
      <c r="H119" s="3" t="s">
        <v>27</v>
      </c>
    </row>
    <row r="120" spans="1:22" ht="24" customHeight="1" thickTop="1" thickBot="1" x14ac:dyDescent="0.45">
      <c r="A120" s="40" t="s">
        <v>2349</v>
      </c>
      <c r="B120" s="3" t="s">
        <v>2350</v>
      </c>
      <c r="C120" s="3">
        <v>22</v>
      </c>
      <c r="D120" s="23">
        <v>34933</v>
      </c>
      <c r="E120" s="3" t="s">
        <v>43</v>
      </c>
      <c r="F120" s="3" t="s">
        <v>6</v>
      </c>
      <c r="G120" s="3" t="s">
        <v>1277</v>
      </c>
      <c r="H120" s="3" t="s">
        <v>27</v>
      </c>
      <c r="K120" s="43"/>
      <c r="L120" s="61"/>
    </row>
    <row r="121" spans="1:22" ht="24" customHeight="1" thickTop="1" thickBot="1" x14ac:dyDescent="0.45">
      <c r="A121" s="40" t="s">
        <v>2351</v>
      </c>
      <c r="B121" s="3" t="s">
        <v>2352</v>
      </c>
      <c r="C121" s="3">
        <v>165</v>
      </c>
      <c r="D121" s="23">
        <v>35659</v>
      </c>
      <c r="E121" s="3" t="s">
        <v>43</v>
      </c>
      <c r="F121" s="3" t="s">
        <v>6</v>
      </c>
      <c r="G121" s="3" t="s">
        <v>1262</v>
      </c>
      <c r="H121" s="3" t="s">
        <v>27</v>
      </c>
    </row>
    <row r="122" spans="1:22" ht="24" customHeight="1" thickTop="1" thickBot="1" x14ac:dyDescent="0.45">
      <c r="A122" s="40" t="s">
        <v>2353</v>
      </c>
      <c r="B122" s="3" t="s">
        <v>2354</v>
      </c>
      <c r="C122" s="3">
        <v>153</v>
      </c>
      <c r="D122" s="23">
        <v>33240</v>
      </c>
      <c r="E122" s="3" t="s">
        <v>43</v>
      </c>
      <c r="F122" s="3" t="s">
        <v>6</v>
      </c>
      <c r="G122" s="3" t="s">
        <v>1261</v>
      </c>
      <c r="H122" s="3" t="s">
        <v>27</v>
      </c>
    </row>
    <row r="123" spans="1:22" ht="24" customHeight="1" thickTop="1" thickBot="1" x14ac:dyDescent="0.45">
      <c r="A123" s="40" t="s">
        <v>2355</v>
      </c>
      <c r="B123" s="3" t="s">
        <v>2356</v>
      </c>
      <c r="C123" s="3">
        <v>75</v>
      </c>
      <c r="D123" s="23">
        <v>34202</v>
      </c>
      <c r="E123" s="3" t="s">
        <v>43</v>
      </c>
      <c r="F123" s="3" t="s">
        <v>1238</v>
      </c>
      <c r="G123" s="3" t="s">
        <v>1261</v>
      </c>
      <c r="H123" s="3" t="s">
        <v>27</v>
      </c>
    </row>
    <row r="124" spans="1:22" ht="24" customHeight="1" thickTop="1" thickBot="1" x14ac:dyDescent="0.45">
      <c r="A124" s="40" t="s">
        <v>2357</v>
      </c>
      <c r="B124" s="3" t="s">
        <v>2358</v>
      </c>
      <c r="C124" s="3">
        <v>125</v>
      </c>
      <c r="D124" s="23">
        <v>31444</v>
      </c>
      <c r="E124" s="3" t="s">
        <v>43</v>
      </c>
      <c r="F124" s="3" t="s">
        <v>1238</v>
      </c>
      <c r="G124" s="3" t="s">
        <v>1261</v>
      </c>
      <c r="H124" s="3" t="s">
        <v>27</v>
      </c>
    </row>
    <row r="125" spans="1:22" ht="24" customHeight="1" thickTop="1" thickBot="1" x14ac:dyDescent="0.45">
      <c r="A125" s="40" t="s">
        <v>57</v>
      </c>
      <c r="B125" s="3" t="s">
        <v>2359</v>
      </c>
      <c r="C125" s="3">
        <v>78</v>
      </c>
      <c r="D125" s="23">
        <v>34294</v>
      </c>
      <c r="E125" s="3" t="s">
        <v>43</v>
      </c>
      <c r="F125" s="3" t="s">
        <v>1238</v>
      </c>
      <c r="G125" s="3">
        <v>0</v>
      </c>
      <c r="H125" s="3" t="s">
        <v>27</v>
      </c>
    </row>
    <row r="126" spans="1:22" ht="24" customHeight="1" thickTop="1" thickBot="1" x14ac:dyDescent="0.45">
      <c r="A126" s="40" t="s">
        <v>51</v>
      </c>
      <c r="B126" s="3" t="s">
        <v>2360</v>
      </c>
      <c r="C126" s="3">
        <v>6353</v>
      </c>
      <c r="D126" s="23">
        <v>34349</v>
      </c>
      <c r="E126" s="3" t="s">
        <v>43</v>
      </c>
      <c r="F126" s="3" t="s">
        <v>1238</v>
      </c>
      <c r="G126" s="3">
        <v>5</v>
      </c>
      <c r="H126" s="3" t="s">
        <v>27</v>
      </c>
      <c r="I126" s="3" t="s">
        <v>38</v>
      </c>
    </row>
    <row r="127" spans="1:22" ht="24" customHeight="1" thickTop="1" thickBot="1" x14ac:dyDescent="0.45">
      <c r="A127" s="40" t="s">
        <v>2361</v>
      </c>
      <c r="B127" s="3" t="s">
        <v>2362</v>
      </c>
      <c r="C127" s="3">
        <v>202</v>
      </c>
      <c r="D127" s="23">
        <v>33148</v>
      </c>
      <c r="E127" s="3" t="s">
        <v>1</v>
      </c>
      <c r="F127" s="3" t="s">
        <v>1239</v>
      </c>
      <c r="G127" s="3">
        <v>1</v>
      </c>
      <c r="H127" s="3" t="s">
        <v>27</v>
      </c>
      <c r="K127" s="23" t="s">
        <v>968</v>
      </c>
      <c r="M127" s="23">
        <v>43303</v>
      </c>
      <c r="N127" s="23">
        <v>44387</v>
      </c>
      <c r="V127" s="23">
        <v>44387</v>
      </c>
    </row>
    <row r="128" spans="1:22" ht="24" customHeight="1" thickTop="1" thickBot="1" x14ac:dyDescent="0.45">
      <c r="A128" s="40" t="s">
        <v>2363</v>
      </c>
      <c r="B128" s="3" t="s">
        <v>2364</v>
      </c>
      <c r="C128" s="3">
        <v>512</v>
      </c>
      <c r="D128" s="23">
        <v>36121</v>
      </c>
      <c r="E128" s="3" t="s">
        <v>1</v>
      </c>
      <c r="F128" s="3" t="s">
        <v>6</v>
      </c>
      <c r="G128" s="3">
        <v>3</v>
      </c>
      <c r="H128" s="3" t="s">
        <v>27</v>
      </c>
      <c r="K128" s="23" t="s">
        <v>1160</v>
      </c>
      <c r="L128" s="23">
        <v>44404</v>
      </c>
      <c r="M128" s="23">
        <v>44661</v>
      </c>
      <c r="N128" s="23">
        <v>44404</v>
      </c>
      <c r="O128" s="23">
        <v>44684</v>
      </c>
      <c r="P128" s="23">
        <v>44769</v>
      </c>
      <c r="Q128" s="23">
        <v>44994</v>
      </c>
      <c r="R128" s="23">
        <v>45163</v>
      </c>
      <c r="S128" s="23">
        <v>45358</v>
      </c>
      <c r="T128" s="23">
        <v>46053</v>
      </c>
    </row>
    <row r="129" spans="1:20" ht="24" customHeight="1" thickTop="1" thickBot="1" x14ac:dyDescent="0.45">
      <c r="A129" s="40" t="s">
        <v>2365</v>
      </c>
      <c r="B129" s="3" t="s">
        <v>2366</v>
      </c>
      <c r="C129" s="3">
        <v>248</v>
      </c>
      <c r="D129" s="23">
        <v>32319</v>
      </c>
      <c r="E129" s="3" t="s">
        <v>1</v>
      </c>
      <c r="F129" s="3" t="s">
        <v>6</v>
      </c>
      <c r="G129" s="3">
        <v>3</v>
      </c>
      <c r="H129" s="3" t="s">
        <v>27</v>
      </c>
      <c r="K129" s="23" t="s">
        <v>2367</v>
      </c>
      <c r="M129" s="23">
        <v>43506</v>
      </c>
      <c r="N129" s="23">
        <v>44387</v>
      </c>
      <c r="T129" s="23">
        <v>44387</v>
      </c>
    </row>
    <row r="130" spans="1:20" ht="24" customHeight="1" thickTop="1" thickBot="1" x14ac:dyDescent="0.45">
      <c r="A130" s="40" t="s">
        <v>2368</v>
      </c>
      <c r="B130" s="3" t="s">
        <v>2369</v>
      </c>
      <c r="C130" s="3">
        <v>283</v>
      </c>
      <c r="D130" s="23">
        <v>35616</v>
      </c>
      <c r="E130" s="3" t="s">
        <v>1</v>
      </c>
      <c r="F130" s="3" t="s">
        <v>1238</v>
      </c>
      <c r="G130" s="3">
        <v>3</v>
      </c>
      <c r="H130" s="3" t="s">
        <v>27</v>
      </c>
      <c r="K130" s="23" t="s">
        <v>2370</v>
      </c>
      <c r="L130" s="23">
        <v>43602</v>
      </c>
      <c r="M130" s="23">
        <v>43626</v>
      </c>
      <c r="N130" s="23">
        <v>44387</v>
      </c>
      <c r="S130" s="23">
        <v>44390</v>
      </c>
      <c r="T130" s="23" t="s">
        <v>2371</v>
      </c>
    </row>
    <row r="131" spans="1:20" ht="24" customHeight="1" thickTop="1" thickBot="1" x14ac:dyDescent="0.45">
      <c r="A131" s="40" t="s">
        <v>2372</v>
      </c>
      <c r="B131" s="3" t="s">
        <v>2373</v>
      </c>
      <c r="C131" s="3">
        <v>562</v>
      </c>
      <c r="D131" s="23">
        <v>34074</v>
      </c>
      <c r="E131" s="3" t="s">
        <v>1</v>
      </c>
      <c r="F131" s="3" t="s">
        <v>6</v>
      </c>
      <c r="G131" s="3">
        <v>4</v>
      </c>
      <c r="H131" s="3" t="s">
        <v>27</v>
      </c>
      <c r="K131" s="23" t="s">
        <v>2374</v>
      </c>
      <c r="L131" s="23">
        <v>44945</v>
      </c>
      <c r="M131" s="23">
        <v>44945</v>
      </c>
      <c r="N131" s="23">
        <v>44958</v>
      </c>
      <c r="O131" s="23">
        <v>44974</v>
      </c>
      <c r="P131" s="23">
        <v>45029</v>
      </c>
      <c r="Q131" s="23">
        <v>45103</v>
      </c>
      <c r="R131" s="23">
        <v>45308</v>
      </c>
      <c r="S131" s="23">
        <v>45712</v>
      </c>
    </row>
    <row r="132" spans="1:20" ht="24" customHeight="1" thickTop="1" thickBot="1" x14ac:dyDescent="0.45">
      <c r="A132" s="40" t="s">
        <v>2375</v>
      </c>
      <c r="B132" s="3" t="s">
        <v>2376</v>
      </c>
      <c r="C132" s="3">
        <v>581</v>
      </c>
      <c r="D132" s="23">
        <v>35549</v>
      </c>
      <c r="E132" s="3" t="s">
        <v>1</v>
      </c>
      <c r="F132" s="3" t="s">
        <v>1239</v>
      </c>
      <c r="G132" s="3">
        <v>5</v>
      </c>
      <c r="H132" s="3" t="s">
        <v>27</v>
      </c>
      <c r="K132" s="23" t="s">
        <v>987</v>
      </c>
      <c r="L132" s="23">
        <v>44955</v>
      </c>
      <c r="M132" s="23">
        <v>44955</v>
      </c>
      <c r="N132" s="23">
        <v>44942</v>
      </c>
      <c r="O132" s="23">
        <v>44974</v>
      </c>
      <c r="P132" s="23">
        <v>45103</v>
      </c>
      <c r="Q132" s="23">
        <v>45230</v>
      </c>
      <c r="R132" s="23">
        <v>45523</v>
      </c>
    </row>
    <row r="133" spans="1:20" ht="24" customHeight="1" thickTop="1" thickBot="1" x14ac:dyDescent="0.45">
      <c r="A133" s="40" t="s">
        <v>2377</v>
      </c>
      <c r="B133" s="3" t="s">
        <v>2378</v>
      </c>
      <c r="C133" s="3">
        <v>689</v>
      </c>
      <c r="D133" s="23">
        <v>34620</v>
      </c>
      <c r="E133" s="3" t="s">
        <v>1</v>
      </c>
      <c r="F133" s="3" t="s">
        <v>6</v>
      </c>
      <c r="G133" s="3">
        <v>6</v>
      </c>
      <c r="H133" s="3" t="s">
        <v>27</v>
      </c>
      <c r="K133" s="23" t="s">
        <v>1005</v>
      </c>
      <c r="L133" s="23">
        <v>45434</v>
      </c>
      <c r="M133" s="23">
        <v>45452</v>
      </c>
      <c r="N133" s="23">
        <v>45446</v>
      </c>
      <c r="O133" s="23">
        <v>45523</v>
      </c>
      <c r="P133" s="23">
        <v>45599</v>
      </c>
      <c r="Q133" s="23">
        <v>45985</v>
      </c>
    </row>
    <row r="134" spans="1:20" ht="24" customHeight="1" thickTop="1" thickBot="1" x14ac:dyDescent="0.45">
      <c r="A134" s="40" t="s">
        <v>2379</v>
      </c>
      <c r="B134" s="3" t="s">
        <v>2380</v>
      </c>
      <c r="C134" s="3">
        <v>719</v>
      </c>
      <c r="D134" s="23">
        <v>36206</v>
      </c>
      <c r="E134" s="3" t="s">
        <v>1</v>
      </c>
      <c r="F134" s="3" t="s">
        <v>6</v>
      </c>
      <c r="G134" s="3">
        <v>6</v>
      </c>
      <c r="H134" s="3" t="s">
        <v>27</v>
      </c>
      <c r="K134" s="43" t="s">
        <v>1002</v>
      </c>
      <c r="L134" s="61">
        <v>45484</v>
      </c>
      <c r="M134" s="23">
        <v>45559</v>
      </c>
      <c r="N134" s="23">
        <v>45540</v>
      </c>
      <c r="O134" s="23">
        <v>45599</v>
      </c>
      <c r="P134" s="23">
        <v>45776</v>
      </c>
      <c r="Q134" s="23">
        <v>46076</v>
      </c>
    </row>
    <row r="135" spans="1:20" ht="24" customHeight="1" thickTop="1" thickBot="1" x14ac:dyDescent="0.45">
      <c r="A135" s="40" t="s">
        <v>2381</v>
      </c>
      <c r="B135" s="3" t="s">
        <v>2382</v>
      </c>
      <c r="C135" s="3">
        <v>628</v>
      </c>
      <c r="D135" s="23">
        <v>36103</v>
      </c>
      <c r="E135" s="3" t="s">
        <v>1</v>
      </c>
      <c r="F135" s="3" t="s">
        <v>1238</v>
      </c>
      <c r="G135" s="3">
        <v>6</v>
      </c>
      <c r="H135" s="3" t="s">
        <v>27</v>
      </c>
      <c r="K135" s="23" t="s">
        <v>990</v>
      </c>
      <c r="L135" s="23">
        <v>45208</v>
      </c>
      <c r="M135" s="23">
        <v>45211</v>
      </c>
      <c r="N135" s="23">
        <v>45215</v>
      </c>
      <c r="O135" s="23">
        <v>45230</v>
      </c>
      <c r="P135" s="23">
        <v>45376</v>
      </c>
      <c r="Q135" s="23">
        <v>45985</v>
      </c>
    </row>
    <row r="136" spans="1:20" ht="24" customHeight="1" thickTop="1" thickBot="1" x14ac:dyDescent="0.45">
      <c r="A136" s="40" t="s">
        <v>2383</v>
      </c>
      <c r="B136" s="3" t="s">
        <v>2384</v>
      </c>
      <c r="C136" s="3">
        <v>720</v>
      </c>
      <c r="D136" s="23">
        <v>38146</v>
      </c>
      <c r="E136" s="3" t="s">
        <v>1</v>
      </c>
      <c r="F136" s="3" t="s">
        <v>1239</v>
      </c>
      <c r="G136" s="3">
        <v>7</v>
      </c>
      <c r="H136" s="3" t="s">
        <v>27</v>
      </c>
      <c r="K136" s="23" t="s">
        <v>2385</v>
      </c>
      <c r="L136" s="23">
        <v>45527</v>
      </c>
      <c r="M136" s="23">
        <v>45566</v>
      </c>
      <c r="N136" s="23">
        <v>45540</v>
      </c>
      <c r="O136" s="23">
        <v>45650</v>
      </c>
      <c r="P136" s="23">
        <v>45930</v>
      </c>
    </row>
    <row r="137" spans="1:20" ht="24" customHeight="1" thickTop="1" thickBot="1" x14ac:dyDescent="0.45">
      <c r="A137" s="40" t="s">
        <v>2386</v>
      </c>
      <c r="B137" s="3" t="s">
        <v>2387</v>
      </c>
      <c r="C137" s="3">
        <v>771</v>
      </c>
      <c r="D137" s="23">
        <v>37778</v>
      </c>
      <c r="E137" s="3" t="s">
        <v>1</v>
      </c>
      <c r="F137" s="3" t="s">
        <v>6</v>
      </c>
      <c r="G137" s="3">
        <v>7</v>
      </c>
      <c r="H137" s="3" t="s">
        <v>27</v>
      </c>
      <c r="K137" s="23" t="s">
        <v>2388</v>
      </c>
      <c r="L137" s="23">
        <v>45853</v>
      </c>
      <c r="M137" s="23">
        <v>45874</v>
      </c>
      <c r="N137" s="23">
        <v>45856</v>
      </c>
      <c r="O137" s="23">
        <v>45897</v>
      </c>
      <c r="P137" s="23">
        <v>45985</v>
      </c>
    </row>
    <row r="138" spans="1:20" ht="24" customHeight="1" thickTop="1" thickBot="1" x14ac:dyDescent="0.45">
      <c r="A138" s="40" t="s">
        <v>2389</v>
      </c>
      <c r="B138" s="3" t="s">
        <v>2390</v>
      </c>
      <c r="C138" s="3">
        <v>788</v>
      </c>
      <c r="D138" s="23">
        <v>36545</v>
      </c>
      <c r="E138" s="3" t="s">
        <v>1</v>
      </c>
      <c r="F138" s="3" t="s">
        <v>1238</v>
      </c>
      <c r="G138" s="3">
        <v>7</v>
      </c>
      <c r="H138" s="3" t="s">
        <v>27</v>
      </c>
      <c r="K138" s="23" t="s">
        <v>27</v>
      </c>
      <c r="L138" s="23">
        <v>45866</v>
      </c>
      <c r="M138" s="23">
        <v>45903</v>
      </c>
      <c r="N138" s="23">
        <v>45897</v>
      </c>
      <c r="O138" s="23">
        <v>45930</v>
      </c>
      <c r="P138" s="23">
        <v>46237</v>
      </c>
    </row>
    <row r="139" spans="1:20" ht="24" customHeight="1" thickTop="1" thickBot="1" x14ac:dyDescent="0.45">
      <c r="A139" s="40" t="s">
        <v>2391</v>
      </c>
      <c r="B139" s="3" t="s">
        <v>2392</v>
      </c>
      <c r="C139" s="3">
        <v>768</v>
      </c>
      <c r="D139" s="23">
        <v>37272</v>
      </c>
      <c r="E139" s="3" t="s">
        <v>1</v>
      </c>
      <c r="F139" s="3" t="s">
        <v>1238</v>
      </c>
      <c r="G139" s="3">
        <v>7</v>
      </c>
      <c r="H139" s="3" t="s">
        <v>27</v>
      </c>
      <c r="K139" s="23" t="s">
        <v>2393</v>
      </c>
      <c r="L139" s="23">
        <v>45846</v>
      </c>
      <c r="M139" s="23">
        <v>45868</v>
      </c>
      <c r="N139" s="23">
        <v>45856</v>
      </c>
      <c r="O139" s="23">
        <v>45897</v>
      </c>
      <c r="P139" s="23">
        <v>46148</v>
      </c>
    </row>
    <row r="140" spans="1:20" ht="24" customHeight="1" thickTop="1" thickBot="1" x14ac:dyDescent="0.45">
      <c r="A140" s="40" t="s">
        <v>2394</v>
      </c>
      <c r="B140" s="3" t="s">
        <v>1760</v>
      </c>
      <c r="C140" s="3">
        <v>841</v>
      </c>
      <c r="D140" s="23">
        <v>35411</v>
      </c>
      <c r="E140" s="3" t="s">
        <v>1</v>
      </c>
      <c r="F140" s="3" t="s">
        <v>1238</v>
      </c>
      <c r="G140" s="3">
        <v>8</v>
      </c>
      <c r="H140" s="3" t="s">
        <v>27</v>
      </c>
      <c r="K140" s="23" t="s">
        <v>27</v>
      </c>
      <c r="M140" s="23">
        <v>46169</v>
      </c>
      <c r="N140" s="23">
        <v>46148</v>
      </c>
      <c r="O140" s="23">
        <v>46237</v>
      </c>
    </row>
    <row r="141" spans="1:20" ht="24" customHeight="1" thickTop="1" thickBot="1" x14ac:dyDescent="0.45">
      <c r="A141" s="40" t="s">
        <v>2395</v>
      </c>
      <c r="B141" s="3" t="s">
        <v>1770</v>
      </c>
      <c r="C141" s="3">
        <v>843</v>
      </c>
      <c r="D141" s="23">
        <v>37892</v>
      </c>
      <c r="E141" s="3" t="s">
        <v>1</v>
      </c>
      <c r="F141" s="3" t="s">
        <v>1239</v>
      </c>
      <c r="G141" s="3" t="s">
        <v>2140</v>
      </c>
      <c r="H141" s="3" t="s">
        <v>27</v>
      </c>
      <c r="K141" s="23" t="s">
        <v>27</v>
      </c>
      <c r="M141" s="23">
        <v>46182</v>
      </c>
      <c r="N141" s="23">
        <v>46148</v>
      </c>
    </row>
    <row r="142" spans="1:20" ht="24" customHeight="1" thickTop="1" thickBot="1" x14ac:dyDescent="0.45">
      <c r="A142" s="40" t="s">
        <v>2396</v>
      </c>
      <c r="B142" s="3" t="s">
        <v>2397</v>
      </c>
      <c r="C142" s="3">
        <v>14</v>
      </c>
      <c r="D142" s="23">
        <v>32787</v>
      </c>
      <c r="E142" s="3" t="s">
        <v>43</v>
      </c>
      <c r="F142" s="3" t="s">
        <v>1238</v>
      </c>
      <c r="G142" s="3" t="s">
        <v>1277</v>
      </c>
      <c r="H142" s="3" t="s">
        <v>15</v>
      </c>
    </row>
    <row r="143" spans="1:20" ht="24" customHeight="1" thickTop="1" thickBot="1" x14ac:dyDescent="0.45">
      <c r="A143" s="40" t="s">
        <v>2398</v>
      </c>
      <c r="B143" s="3" t="s">
        <v>2399</v>
      </c>
      <c r="C143" s="3">
        <v>61</v>
      </c>
      <c r="D143" s="23">
        <v>33514</v>
      </c>
      <c r="E143" s="3" t="s">
        <v>43</v>
      </c>
      <c r="F143" s="3" t="s">
        <v>1239</v>
      </c>
      <c r="G143" s="3" t="s">
        <v>1264</v>
      </c>
      <c r="H143" s="3" t="s">
        <v>15</v>
      </c>
    </row>
    <row r="144" spans="1:20" ht="24" customHeight="1" thickTop="1" thickBot="1" x14ac:dyDescent="0.45">
      <c r="A144" s="40" t="s">
        <v>2400</v>
      </c>
      <c r="B144" s="3" t="s">
        <v>2401</v>
      </c>
      <c r="C144" s="3">
        <v>137</v>
      </c>
      <c r="D144" s="23">
        <v>35636</v>
      </c>
      <c r="E144" s="3" t="s">
        <v>43</v>
      </c>
      <c r="F144" s="3" t="s">
        <v>1238</v>
      </c>
      <c r="G144" s="3" t="s">
        <v>1262</v>
      </c>
      <c r="H144" s="3" t="s">
        <v>15</v>
      </c>
    </row>
    <row r="145" spans="1:20" ht="24" customHeight="1" thickTop="1" thickBot="1" x14ac:dyDescent="0.45">
      <c r="A145" s="40" t="s">
        <v>47</v>
      </c>
      <c r="B145" s="3" t="s">
        <v>2402</v>
      </c>
      <c r="C145" s="3">
        <v>45</v>
      </c>
      <c r="D145" s="23">
        <v>32438</v>
      </c>
      <c r="E145" s="3" t="s">
        <v>43</v>
      </c>
      <c r="F145" s="3" t="s">
        <v>1239</v>
      </c>
      <c r="G145" s="3" t="s">
        <v>1261</v>
      </c>
      <c r="H145" s="3" t="s">
        <v>15</v>
      </c>
      <c r="I145" s="3" t="s">
        <v>38</v>
      </c>
    </row>
    <row r="146" spans="1:20" ht="24" customHeight="1" thickTop="1" thickBot="1" x14ac:dyDescent="0.45">
      <c r="A146" s="40" t="s">
        <v>2403</v>
      </c>
      <c r="B146" s="3" t="s">
        <v>2404</v>
      </c>
      <c r="C146" s="3">
        <v>56</v>
      </c>
      <c r="D146" s="23">
        <v>34784</v>
      </c>
      <c r="E146" s="3" t="s">
        <v>43</v>
      </c>
      <c r="F146" s="3" t="s">
        <v>6</v>
      </c>
      <c r="G146" s="3" t="s">
        <v>1261</v>
      </c>
      <c r="H146" s="3" t="s">
        <v>15</v>
      </c>
    </row>
    <row r="147" spans="1:20" ht="24" customHeight="1" thickTop="1" thickBot="1" x14ac:dyDescent="0.45">
      <c r="A147" s="40" t="s">
        <v>2405</v>
      </c>
      <c r="B147" s="3" t="s">
        <v>2406</v>
      </c>
      <c r="C147" s="3">
        <v>93</v>
      </c>
      <c r="D147" s="23">
        <v>34315</v>
      </c>
      <c r="E147" s="3" t="s">
        <v>43</v>
      </c>
      <c r="F147" s="3" t="s">
        <v>6</v>
      </c>
      <c r="G147" s="3" t="s">
        <v>1261</v>
      </c>
      <c r="H147" s="3" t="s">
        <v>15</v>
      </c>
    </row>
    <row r="148" spans="1:20" ht="24" customHeight="1" thickTop="1" thickBot="1" x14ac:dyDescent="0.45">
      <c r="A148" s="40" t="s">
        <v>2407</v>
      </c>
      <c r="B148" s="3" t="s">
        <v>2408</v>
      </c>
      <c r="C148" s="3">
        <v>84</v>
      </c>
      <c r="D148" s="23">
        <v>35448</v>
      </c>
      <c r="E148" s="3" t="s">
        <v>43</v>
      </c>
      <c r="F148" s="3" t="s">
        <v>1239</v>
      </c>
      <c r="G148" s="3" t="s">
        <v>1248</v>
      </c>
      <c r="H148" s="3" t="s">
        <v>15</v>
      </c>
    </row>
    <row r="149" spans="1:20" ht="24" customHeight="1" thickTop="1" thickBot="1" x14ac:dyDescent="0.45">
      <c r="A149" s="40" t="s">
        <v>2409</v>
      </c>
      <c r="B149" s="3" t="s">
        <v>1400</v>
      </c>
      <c r="C149" s="3">
        <v>188</v>
      </c>
      <c r="D149" s="23">
        <v>30983</v>
      </c>
      <c r="E149" s="3" t="s">
        <v>43</v>
      </c>
      <c r="F149" s="3" t="s">
        <v>6</v>
      </c>
      <c r="G149" s="3" t="s">
        <v>1248</v>
      </c>
      <c r="H149" s="3" t="s">
        <v>15</v>
      </c>
    </row>
    <row r="150" spans="1:20" ht="24" customHeight="1" thickTop="1" thickBot="1" x14ac:dyDescent="0.45">
      <c r="A150" s="40" t="s">
        <v>2410</v>
      </c>
      <c r="B150" s="3" t="s">
        <v>2411</v>
      </c>
      <c r="C150" s="3">
        <v>6177</v>
      </c>
      <c r="D150" s="23">
        <v>34322</v>
      </c>
      <c r="E150" s="3" t="s">
        <v>43</v>
      </c>
      <c r="F150" s="3" t="s">
        <v>1238</v>
      </c>
      <c r="G150" s="3" t="s">
        <v>1248</v>
      </c>
      <c r="H150" s="3" t="s">
        <v>15</v>
      </c>
    </row>
    <row r="151" spans="1:20" ht="24" customHeight="1" thickTop="1" thickBot="1" x14ac:dyDescent="0.45">
      <c r="A151" s="40" t="s">
        <v>2412</v>
      </c>
      <c r="B151" s="3" t="s">
        <v>2413</v>
      </c>
      <c r="C151" s="3">
        <v>448</v>
      </c>
      <c r="D151" s="23">
        <v>35251</v>
      </c>
      <c r="E151" s="3" t="s">
        <v>1</v>
      </c>
      <c r="F151" s="3" t="s">
        <v>1238</v>
      </c>
      <c r="G151" s="3">
        <v>3</v>
      </c>
      <c r="H151" s="3" t="s">
        <v>15</v>
      </c>
      <c r="K151" s="23" t="s">
        <v>2414</v>
      </c>
      <c r="L151" s="23">
        <v>44516</v>
      </c>
      <c r="M151" s="23">
        <v>44526</v>
      </c>
      <c r="N151" s="23">
        <v>44541</v>
      </c>
      <c r="O151" s="23">
        <v>44541</v>
      </c>
      <c r="P151" s="23">
        <v>44574</v>
      </c>
      <c r="Q151" s="23">
        <v>44634</v>
      </c>
      <c r="R151" s="23">
        <v>44728</v>
      </c>
      <c r="S151" s="23">
        <v>45197</v>
      </c>
      <c r="T151" s="23">
        <v>45523</v>
      </c>
    </row>
    <row r="152" spans="1:20" ht="24" customHeight="1" thickTop="1" thickBot="1" x14ac:dyDescent="0.45">
      <c r="A152" s="40" t="s">
        <v>2415</v>
      </c>
      <c r="B152" s="3" t="s">
        <v>2416</v>
      </c>
      <c r="C152" s="3">
        <v>663</v>
      </c>
      <c r="D152" s="23">
        <v>36635</v>
      </c>
      <c r="E152" s="3" t="s">
        <v>1</v>
      </c>
      <c r="F152" s="3" t="s">
        <v>1238</v>
      </c>
      <c r="G152" s="3">
        <v>4</v>
      </c>
      <c r="H152" s="3" t="s">
        <v>15</v>
      </c>
      <c r="K152" s="23" t="s">
        <v>993</v>
      </c>
      <c r="L152" s="23">
        <v>45353</v>
      </c>
      <c r="M152" s="23">
        <v>45372</v>
      </c>
      <c r="N152" s="23">
        <v>45359</v>
      </c>
      <c r="O152" s="23">
        <v>45376</v>
      </c>
      <c r="P152" s="23">
        <v>45460</v>
      </c>
      <c r="Q152" s="23">
        <v>45540</v>
      </c>
      <c r="R152" s="23">
        <v>45739</v>
      </c>
      <c r="S152" s="23">
        <v>45930</v>
      </c>
    </row>
    <row r="153" spans="1:20" ht="24" customHeight="1" thickTop="1" thickBot="1" x14ac:dyDescent="0.45">
      <c r="A153" s="40" t="s">
        <v>2417</v>
      </c>
      <c r="B153" s="3" t="s">
        <v>2418</v>
      </c>
      <c r="C153" s="3">
        <v>443</v>
      </c>
      <c r="D153" s="23">
        <v>35454</v>
      </c>
      <c r="E153" s="3" t="s">
        <v>1</v>
      </c>
      <c r="F153" s="3" t="s">
        <v>1238</v>
      </c>
      <c r="G153" s="3">
        <v>4</v>
      </c>
      <c r="H153" s="3" t="s">
        <v>15</v>
      </c>
      <c r="K153" s="23" t="s">
        <v>979</v>
      </c>
      <c r="L153" s="23">
        <v>44520</v>
      </c>
      <c r="M153" s="23">
        <v>44525</v>
      </c>
      <c r="N153" s="23">
        <v>44525</v>
      </c>
      <c r="O153" s="23">
        <v>44541</v>
      </c>
      <c r="P153" s="23">
        <v>44569</v>
      </c>
      <c r="Q153" s="23">
        <v>44958</v>
      </c>
      <c r="R153" s="23">
        <v>45308</v>
      </c>
      <c r="S153" s="23">
        <v>45650</v>
      </c>
    </row>
    <row r="154" spans="1:20" ht="24" customHeight="1" thickTop="1" thickBot="1" x14ac:dyDescent="0.45">
      <c r="A154" s="40" t="s">
        <v>2419</v>
      </c>
      <c r="B154" s="3" t="s">
        <v>2420</v>
      </c>
      <c r="C154" s="3">
        <v>698</v>
      </c>
      <c r="D154" s="23">
        <v>37790</v>
      </c>
      <c r="E154" s="3" t="s">
        <v>1</v>
      </c>
      <c r="F154" s="3" t="s">
        <v>1238</v>
      </c>
      <c r="G154" s="3">
        <v>5</v>
      </c>
      <c r="H154" s="3" t="s">
        <v>15</v>
      </c>
      <c r="K154" s="23" t="s">
        <v>998</v>
      </c>
      <c r="L154" s="23">
        <v>45174</v>
      </c>
      <c r="M154" s="23">
        <v>45491</v>
      </c>
      <c r="N154" s="23">
        <v>45180</v>
      </c>
      <c r="O154" s="23">
        <v>45215</v>
      </c>
      <c r="P154" s="23">
        <v>45376</v>
      </c>
      <c r="Q154" s="23">
        <v>45776</v>
      </c>
      <c r="R154" s="23">
        <v>46076</v>
      </c>
    </row>
    <row r="155" spans="1:20" ht="24" customHeight="1" thickTop="1" thickBot="1" x14ac:dyDescent="0.45">
      <c r="A155" s="40" t="s">
        <v>2421</v>
      </c>
      <c r="B155" s="3" t="s">
        <v>2422</v>
      </c>
      <c r="C155" s="3">
        <v>627</v>
      </c>
      <c r="D155" s="23">
        <v>36132</v>
      </c>
      <c r="E155" s="3" t="s">
        <v>1</v>
      </c>
      <c r="F155" s="3" t="s">
        <v>1239</v>
      </c>
      <c r="G155" s="3">
        <v>6</v>
      </c>
      <c r="H155" s="3" t="s">
        <v>15</v>
      </c>
      <c r="K155" s="23" t="s">
        <v>2423</v>
      </c>
      <c r="L155" s="23">
        <v>45200</v>
      </c>
      <c r="M155" s="23">
        <v>45208</v>
      </c>
      <c r="N155" s="23">
        <v>45215</v>
      </c>
      <c r="O155" s="23">
        <v>45230</v>
      </c>
      <c r="P155" s="23">
        <v>45359</v>
      </c>
      <c r="Q155" s="23">
        <v>45650</v>
      </c>
    </row>
    <row r="156" spans="1:20" ht="24" customHeight="1" thickTop="1" thickBot="1" x14ac:dyDescent="0.45">
      <c r="A156" s="40" t="s">
        <v>2424</v>
      </c>
      <c r="B156" s="3" t="s">
        <v>2425</v>
      </c>
      <c r="C156" s="3">
        <v>673</v>
      </c>
      <c r="D156" s="23">
        <v>37562</v>
      </c>
      <c r="E156" s="3" t="s">
        <v>1</v>
      </c>
      <c r="F156" s="3" t="s">
        <v>1238</v>
      </c>
      <c r="G156" s="3">
        <v>6</v>
      </c>
      <c r="H156" s="3" t="s">
        <v>15</v>
      </c>
      <c r="K156" s="23" t="s">
        <v>996</v>
      </c>
      <c r="L156" s="23">
        <v>45357</v>
      </c>
      <c r="M156" s="23">
        <v>45388</v>
      </c>
      <c r="N156" s="23">
        <v>45376</v>
      </c>
      <c r="O156" s="23">
        <v>45427</v>
      </c>
      <c r="P156" s="23">
        <v>45540</v>
      </c>
      <c r="Q156" s="23">
        <v>45802</v>
      </c>
    </row>
    <row r="157" spans="1:20" ht="24" customHeight="1" thickTop="1" thickBot="1" x14ac:dyDescent="0.45">
      <c r="A157" s="40" t="s">
        <v>40</v>
      </c>
      <c r="B157" s="3" t="s">
        <v>2426</v>
      </c>
      <c r="C157" s="3">
        <v>742</v>
      </c>
      <c r="D157" s="23">
        <v>35908</v>
      </c>
      <c r="E157" s="3" t="s">
        <v>1</v>
      </c>
      <c r="F157" s="3" t="s">
        <v>1238</v>
      </c>
      <c r="G157" s="3">
        <v>6</v>
      </c>
      <c r="H157" s="3" t="s">
        <v>15</v>
      </c>
      <c r="K157" s="23" t="s">
        <v>1219</v>
      </c>
      <c r="L157" s="23">
        <v>45723</v>
      </c>
      <c r="M157" s="23">
        <v>45729</v>
      </c>
      <c r="N157" s="23">
        <v>45739</v>
      </c>
      <c r="O157" s="23">
        <v>45760</v>
      </c>
      <c r="P157" s="23">
        <v>45856</v>
      </c>
      <c r="Q157" s="23">
        <v>46237</v>
      </c>
    </row>
    <row r="158" spans="1:20" ht="24" customHeight="1" thickTop="1" thickBot="1" x14ac:dyDescent="0.45">
      <c r="A158" s="40" t="s">
        <v>2427</v>
      </c>
      <c r="B158" s="3" t="s">
        <v>2428</v>
      </c>
      <c r="C158" s="3">
        <v>774</v>
      </c>
      <c r="D158" s="23">
        <v>37297</v>
      </c>
      <c r="E158" s="3" t="s">
        <v>1</v>
      </c>
      <c r="F158" s="3" t="s">
        <v>1239</v>
      </c>
      <c r="G158" s="3">
        <v>7</v>
      </c>
      <c r="H158" s="3" t="s">
        <v>15</v>
      </c>
      <c r="K158" s="23" t="s">
        <v>15</v>
      </c>
      <c r="L158" s="23">
        <v>45847</v>
      </c>
      <c r="M158" s="23">
        <v>45882</v>
      </c>
      <c r="N158" s="23">
        <v>45856</v>
      </c>
      <c r="O158" s="23">
        <v>45930</v>
      </c>
      <c r="P158" s="23">
        <v>46237</v>
      </c>
    </row>
    <row r="159" spans="1:20" ht="24" customHeight="1" thickTop="1" thickBot="1" x14ac:dyDescent="0.45">
      <c r="A159" s="40" t="s">
        <v>2429</v>
      </c>
      <c r="B159" s="3" t="s">
        <v>2430</v>
      </c>
      <c r="C159" s="3">
        <v>792</v>
      </c>
      <c r="D159" s="23">
        <v>38215</v>
      </c>
      <c r="E159" s="3" t="s">
        <v>1</v>
      </c>
      <c r="F159" s="3" t="s">
        <v>6</v>
      </c>
      <c r="G159" s="3">
        <v>7</v>
      </c>
      <c r="H159" s="3" t="s">
        <v>15</v>
      </c>
      <c r="K159" s="23" t="s">
        <v>15</v>
      </c>
      <c r="L159" s="23">
        <v>45884</v>
      </c>
      <c r="M159" s="23">
        <v>45913</v>
      </c>
      <c r="N159" s="23">
        <v>45897</v>
      </c>
      <c r="O159" s="23">
        <v>45930</v>
      </c>
      <c r="P159" s="23">
        <v>46053</v>
      </c>
    </row>
    <row r="160" spans="1:20" ht="24" customHeight="1" thickTop="1" thickBot="1" x14ac:dyDescent="0.45">
      <c r="A160" s="40" t="s">
        <v>2431</v>
      </c>
      <c r="B160" s="3" t="s">
        <v>2432</v>
      </c>
      <c r="C160" s="3">
        <v>780</v>
      </c>
      <c r="D160" s="23">
        <v>37197</v>
      </c>
      <c r="E160" s="3" t="s">
        <v>1</v>
      </c>
      <c r="F160" s="3" t="s">
        <v>6</v>
      </c>
      <c r="G160" s="3">
        <v>7</v>
      </c>
      <c r="H160" s="3" t="s">
        <v>15</v>
      </c>
      <c r="K160" s="23" t="s">
        <v>2433</v>
      </c>
      <c r="L160" s="23">
        <v>45878</v>
      </c>
      <c r="M160" s="23">
        <v>45887</v>
      </c>
      <c r="N160" s="23">
        <v>45897</v>
      </c>
      <c r="O160" s="23">
        <v>45930</v>
      </c>
      <c r="P160" s="23">
        <v>46208</v>
      </c>
    </row>
    <row r="161" spans="1:22" ht="24" customHeight="1" thickTop="1" thickBot="1" x14ac:dyDescent="0.45">
      <c r="A161" s="40" t="s">
        <v>2434</v>
      </c>
      <c r="B161" s="3" t="s">
        <v>1459</v>
      </c>
      <c r="C161" s="3">
        <v>828</v>
      </c>
      <c r="D161" s="23">
        <v>37296</v>
      </c>
      <c r="E161" s="3" t="s">
        <v>1</v>
      </c>
      <c r="F161" s="3" t="s">
        <v>6</v>
      </c>
      <c r="G161" s="3">
        <v>8</v>
      </c>
      <c r="H161" s="3" t="s">
        <v>15</v>
      </c>
      <c r="K161" s="23" t="s">
        <v>15</v>
      </c>
      <c r="L161" s="23">
        <v>46040</v>
      </c>
      <c r="M161" s="23">
        <v>46073</v>
      </c>
      <c r="N161" s="23">
        <v>46053</v>
      </c>
      <c r="O161" s="23">
        <v>46148</v>
      </c>
    </row>
    <row r="162" spans="1:22" ht="24" customHeight="1" thickTop="1" thickBot="1" x14ac:dyDescent="0.45">
      <c r="A162" s="40" t="s">
        <v>2435</v>
      </c>
      <c r="B162" s="3" t="s">
        <v>1465</v>
      </c>
      <c r="C162" s="3">
        <v>833</v>
      </c>
      <c r="D162" s="23">
        <v>35126</v>
      </c>
      <c r="E162" s="3" t="s">
        <v>1</v>
      </c>
      <c r="F162" s="3" t="s">
        <v>1238</v>
      </c>
      <c r="G162" s="3">
        <v>8</v>
      </c>
      <c r="H162" s="3" t="s">
        <v>15</v>
      </c>
      <c r="K162" s="23" t="s">
        <v>2436</v>
      </c>
      <c r="L162" s="23">
        <v>46049</v>
      </c>
      <c r="M162" s="23" t="s">
        <v>2437</v>
      </c>
      <c r="N162" s="23">
        <v>46167</v>
      </c>
    </row>
    <row r="163" spans="1:22" ht="24" customHeight="1" thickTop="1" thickBot="1" x14ac:dyDescent="0.45">
      <c r="A163" s="40" t="s">
        <v>2438</v>
      </c>
      <c r="B163" s="3" t="s">
        <v>1455</v>
      </c>
      <c r="C163" s="3">
        <v>830</v>
      </c>
      <c r="D163" s="23">
        <v>37628</v>
      </c>
      <c r="E163" s="3" t="s">
        <v>1</v>
      </c>
      <c r="F163" s="3" t="s">
        <v>1238</v>
      </c>
      <c r="G163" s="3">
        <v>8</v>
      </c>
      <c r="H163" s="3" t="s">
        <v>15</v>
      </c>
      <c r="K163" s="23" t="s">
        <v>2436</v>
      </c>
      <c r="L163" s="23">
        <v>46028</v>
      </c>
      <c r="M163" s="23">
        <v>46086</v>
      </c>
      <c r="N163" s="23">
        <v>46053</v>
      </c>
      <c r="O163" s="23">
        <v>46208</v>
      </c>
    </row>
    <row r="164" spans="1:22" ht="24" customHeight="1" thickTop="1" thickBot="1" x14ac:dyDescent="0.45">
      <c r="A164" s="40" t="s">
        <v>2439</v>
      </c>
      <c r="B164" s="3" t="s">
        <v>1756</v>
      </c>
      <c r="C164" s="3">
        <v>837</v>
      </c>
      <c r="D164" s="23">
        <v>37652</v>
      </c>
      <c r="E164" s="3" t="s">
        <v>1</v>
      </c>
      <c r="F164" s="3" t="s">
        <v>1238</v>
      </c>
      <c r="G164" s="3">
        <v>8</v>
      </c>
      <c r="H164" s="3" t="s">
        <v>15</v>
      </c>
      <c r="K164" s="23" t="s">
        <v>15</v>
      </c>
      <c r="M164" s="23">
        <v>46151</v>
      </c>
      <c r="N164" s="23">
        <v>46124</v>
      </c>
      <c r="O164" s="23">
        <v>46263</v>
      </c>
    </row>
    <row r="165" spans="1:22" ht="24" customHeight="1" thickTop="1" thickBot="1" x14ac:dyDescent="0.45">
      <c r="A165" s="40" t="s">
        <v>2440</v>
      </c>
      <c r="B165" s="3" t="s">
        <v>2441</v>
      </c>
      <c r="C165" s="3">
        <v>91</v>
      </c>
      <c r="D165" s="23">
        <v>34939</v>
      </c>
      <c r="E165" s="3" t="s">
        <v>43</v>
      </c>
      <c r="F165" s="3" t="s">
        <v>1238</v>
      </c>
      <c r="G165" s="3" t="s">
        <v>1262</v>
      </c>
      <c r="H165" s="3" t="s">
        <v>1107</v>
      </c>
    </row>
    <row r="166" spans="1:22" ht="24" customHeight="1" thickTop="1" thickBot="1" x14ac:dyDescent="0.45">
      <c r="A166" s="40" t="s">
        <v>2442</v>
      </c>
      <c r="B166" s="3" t="s">
        <v>2443</v>
      </c>
      <c r="C166" s="3">
        <v>20</v>
      </c>
      <c r="D166" s="23">
        <v>34336</v>
      </c>
      <c r="E166" s="3" t="s">
        <v>43</v>
      </c>
      <c r="F166" s="3" t="s">
        <v>1238</v>
      </c>
      <c r="G166" s="3" t="s">
        <v>1262</v>
      </c>
      <c r="H166" s="3" t="s">
        <v>1107</v>
      </c>
    </row>
    <row r="167" spans="1:22" ht="24" customHeight="1" thickTop="1" thickBot="1" x14ac:dyDescent="0.45">
      <c r="A167" s="40" t="s">
        <v>2444</v>
      </c>
      <c r="B167" s="3" t="s">
        <v>2445</v>
      </c>
      <c r="C167" s="3">
        <v>115</v>
      </c>
      <c r="D167" s="23">
        <v>31006</v>
      </c>
      <c r="E167" s="3" t="s">
        <v>43</v>
      </c>
      <c r="F167" s="3" t="s">
        <v>1239</v>
      </c>
      <c r="G167" s="3" t="s">
        <v>1248</v>
      </c>
      <c r="H167" s="3" t="s">
        <v>1107</v>
      </c>
    </row>
    <row r="168" spans="1:22" ht="24" customHeight="1" thickTop="1" thickBot="1" x14ac:dyDescent="0.45">
      <c r="A168" s="40" t="s">
        <v>2446</v>
      </c>
      <c r="B168" s="3" t="s">
        <v>2447</v>
      </c>
      <c r="C168" s="3">
        <v>79</v>
      </c>
      <c r="D168" s="23">
        <v>32833</v>
      </c>
      <c r="E168" s="3" t="s">
        <v>43</v>
      </c>
      <c r="F168" s="3" t="s">
        <v>1238</v>
      </c>
      <c r="G168" s="3" t="s">
        <v>1248</v>
      </c>
      <c r="H168" s="3" t="s">
        <v>1107</v>
      </c>
    </row>
    <row r="169" spans="1:22" ht="24" customHeight="1" thickTop="1" thickBot="1" x14ac:dyDescent="0.45">
      <c r="A169" s="40" t="s">
        <v>2448</v>
      </c>
      <c r="B169" s="3" t="s">
        <v>1110</v>
      </c>
      <c r="C169" s="3">
        <v>6479</v>
      </c>
      <c r="D169" s="23">
        <v>32927</v>
      </c>
      <c r="E169" s="3" t="s">
        <v>43</v>
      </c>
      <c r="F169" s="3" t="s">
        <v>1238</v>
      </c>
      <c r="G169" s="3">
        <v>8</v>
      </c>
      <c r="H169" s="3" t="s">
        <v>1107</v>
      </c>
      <c r="I169" s="3" t="s">
        <v>38</v>
      </c>
      <c r="N169" s="23">
        <v>46148</v>
      </c>
    </row>
    <row r="170" spans="1:22" ht="24" customHeight="1" thickTop="1" thickBot="1" x14ac:dyDescent="0.45">
      <c r="A170" s="40" t="s">
        <v>2449</v>
      </c>
      <c r="B170" s="3" t="s">
        <v>2450</v>
      </c>
      <c r="C170" s="3">
        <v>277</v>
      </c>
      <c r="D170" s="23">
        <v>34061</v>
      </c>
      <c r="E170" s="3" t="s">
        <v>1</v>
      </c>
      <c r="F170" s="3" t="s">
        <v>1238</v>
      </c>
      <c r="G170" s="3">
        <v>1</v>
      </c>
      <c r="H170" s="3" t="s">
        <v>1107</v>
      </c>
      <c r="K170" s="23" t="s">
        <v>1392</v>
      </c>
      <c r="L170" s="23">
        <v>43568</v>
      </c>
      <c r="M170" s="23">
        <v>43577</v>
      </c>
      <c r="N170" s="23">
        <v>44387</v>
      </c>
      <c r="U170" s="23">
        <v>44387</v>
      </c>
      <c r="V170" s="23">
        <v>45272</v>
      </c>
    </row>
    <row r="171" spans="1:22" ht="24" customHeight="1" thickTop="1" thickBot="1" x14ac:dyDescent="0.45">
      <c r="A171" s="40" t="s">
        <v>2451</v>
      </c>
      <c r="B171" s="3" t="s">
        <v>2452</v>
      </c>
      <c r="C171" s="3">
        <v>470</v>
      </c>
      <c r="D171" s="23">
        <v>34079</v>
      </c>
      <c r="E171" s="3" t="s">
        <v>1</v>
      </c>
      <c r="F171" s="3" t="s">
        <v>1239</v>
      </c>
      <c r="G171" s="3">
        <v>3</v>
      </c>
      <c r="H171" s="3" t="s">
        <v>1107</v>
      </c>
      <c r="K171" s="23" t="s">
        <v>2453</v>
      </c>
      <c r="L171" s="23">
        <v>44555</v>
      </c>
      <c r="M171" s="23">
        <v>44580</v>
      </c>
      <c r="N171" s="23">
        <v>44593</v>
      </c>
      <c r="O171" s="23">
        <v>44593</v>
      </c>
      <c r="P171" s="23">
        <v>44616</v>
      </c>
      <c r="Q171" s="23">
        <v>44849</v>
      </c>
      <c r="R171" s="23">
        <v>44994</v>
      </c>
      <c r="S171" s="23">
        <v>45308</v>
      </c>
      <c r="T171" s="23">
        <v>45776</v>
      </c>
    </row>
    <row r="172" spans="1:22" ht="24" customHeight="1" thickTop="1" thickBot="1" x14ac:dyDescent="0.45">
      <c r="A172" s="40" t="s">
        <v>2454</v>
      </c>
      <c r="B172" s="3" t="s">
        <v>2455</v>
      </c>
      <c r="C172" s="3">
        <v>201</v>
      </c>
      <c r="D172" s="23">
        <v>33462</v>
      </c>
      <c r="E172" s="3" t="s">
        <v>1</v>
      </c>
      <c r="F172" s="3" t="s">
        <v>1238</v>
      </c>
      <c r="G172" s="3">
        <v>4</v>
      </c>
      <c r="H172" s="3" t="s">
        <v>1107</v>
      </c>
      <c r="K172" s="23" t="s">
        <v>2456</v>
      </c>
      <c r="M172" s="23">
        <v>43303</v>
      </c>
      <c r="N172" s="23">
        <v>44416</v>
      </c>
      <c r="R172" s="23">
        <v>44416</v>
      </c>
      <c r="S172" s="23" t="s">
        <v>2457</v>
      </c>
    </row>
    <row r="173" spans="1:22" ht="24" customHeight="1" thickTop="1" thickBot="1" x14ac:dyDescent="0.45">
      <c r="A173" s="40" t="s">
        <v>2458</v>
      </c>
      <c r="B173" s="3" t="s">
        <v>2459</v>
      </c>
      <c r="C173" s="3">
        <v>399</v>
      </c>
      <c r="D173" s="23">
        <v>29842</v>
      </c>
      <c r="E173" s="3" t="s">
        <v>1</v>
      </c>
      <c r="F173" s="3" t="s">
        <v>1239</v>
      </c>
      <c r="G173" s="3">
        <v>5</v>
      </c>
      <c r="H173" s="3" t="s">
        <v>1107</v>
      </c>
      <c r="K173" s="23" t="s">
        <v>2460</v>
      </c>
      <c r="M173" s="23">
        <v>43303</v>
      </c>
      <c r="N173" s="23">
        <v>44387</v>
      </c>
      <c r="R173" s="23" t="s">
        <v>2461</v>
      </c>
      <c r="S173" s="23" t="s">
        <v>2462</v>
      </c>
      <c r="T173" s="23">
        <v>44387</v>
      </c>
    </row>
    <row r="174" spans="1:22" ht="24" customHeight="1" thickTop="1" thickBot="1" x14ac:dyDescent="0.45">
      <c r="A174" s="40" t="s">
        <v>2463</v>
      </c>
      <c r="B174" s="3" t="s">
        <v>2464</v>
      </c>
      <c r="C174" s="3">
        <v>547</v>
      </c>
      <c r="D174" s="23">
        <v>33221</v>
      </c>
      <c r="E174" s="3" t="s">
        <v>1</v>
      </c>
      <c r="F174" s="3" t="s">
        <v>6</v>
      </c>
      <c r="G174" s="3">
        <v>5</v>
      </c>
      <c r="H174" s="3" t="s">
        <v>1107</v>
      </c>
      <c r="K174" s="23" t="s">
        <v>2465</v>
      </c>
      <c r="L174" s="23">
        <v>44728</v>
      </c>
      <c r="M174" s="23">
        <v>44783</v>
      </c>
      <c r="N174" s="23">
        <v>44728</v>
      </c>
      <c r="O174" s="23">
        <v>44748</v>
      </c>
      <c r="P174" s="23">
        <v>44942</v>
      </c>
      <c r="Q174" s="23">
        <v>45272</v>
      </c>
      <c r="R174" s="23">
        <v>45930</v>
      </c>
    </row>
    <row r="175" spans="1:22" ht="24" customHeight="1" thickTop="1" thickBot="1" x14ac:dyDescent="0.45">
      <c r="A175" s="40" t="s">
        <v>2466</v>
      </c>
      <c r="B175" s="3" t="s">
        <v>2467</v>
      </c>
      <c r="C175" s="3">
        <v>314</v>
      </c>
      <c r="D175" s="23">
        <v>34895</v>
      </c>
      <c r="E175" s="3" t="s">
        <v>1</v>
      </c>
      <c r="F175" s="3" t="s">
        <v>1238</v>
      </c>
      <c r="G175" s="3">
        <v>5</v>
      </c>
      <c r="H175" s="3" t="s">
        <v>1107</v>
      </c>
      <c r="K175" s="23" t="s">
        <v>2468</v>
      </c>
      <c r="M175" s="23">
        <v>44033</v>
      </c>
      <c r="N175" s="23">
        <v>44390</v>
      </c>
      <c r="Q175" s="23">
        <v>44390</v>
      </c>
      <c r="R175" s="23">
        <v>45258</v>
      </c>
    </row>
    <row r="176" spans="1:22" ht="24" customHeight="1" thickTop="1" thickBot="1" x14ac:dyDescent="0.45">
      <c r="A176" s="40" t="s">
        <v>2469</v>
      </c>
      <c r="B176" s="3" t="s">
        <v>2470</v>
      </c>
      <c r="C176" s="3">
        <v>463</v>
      </c>
      <c r="D176" s="23">
        <v>35158</v>
      </c>
      <c r="E176" s="3" t="s">
        <v>1</v>
      </c>
      <c r="F176" s="3" t="s">
        <v>1239</v>
      </c>
      <c r="G176" s="3">
        <v>6</v>
      </c>
      <c r="H176" s="3" t="s">
        <v>1107</v>
      </c>
      <c r="K176" s="23" t="s">
        <v>2471</v>
      </c>
      <c r="L176" s="23">
        <v>44547</v>
      </c>
      <c r="M176" s="23">
        <v>44554</v>
      </c>
      <c r="N176" s="23">
        <v>44547</v>
      </c>
    </row>
    <row r="177" spans="1:23" ht="24" customHeight="1" thickTop="1" thickBot="1" x14ac:dyDescent="0.45">
      <c r="A177" s="40" t="s">
        <v>2472</v>
      </c>
      <c r="B177" s="3" t="s">
        <v>2473</v>
      </c>
      <c r="C177" s="3">
        <v>744</v>
      </c>
      <c r="D177" s="23">
        <v>35895</v>
      </c>
      <c r="E177" s="3" t="s">
        <v>1</v>
      </c>
      <c r="F177" s="3" t="s">
        <v>6</v>
      </c>
      <c r="G177" s="3">
        <v>7</v>
      </c>
      <c r="H177" s="3" t="s">
        <v>1107</v>
      </c>
      <c r="K177" s="43" t="s">
        <v>2474</v>
      </c>
      <c r="L177" s="61">
        <v>45669</v>
      </c>
      <c r="M177" s="23">
        <v>45745</v>
      </c>
      <c r="N177" s="23">
        <v>45693</v>
      </c>
      <c r="O177" s="23">
        <v>45776</v>
      </c>
      <c r="P177" s="23">
        <v>46208</v>
      </c>
    </row>
    <row r="178" spans="1:23" ht="24" customHeight="1" thickTop="1" thickBot="1" x14ac:dyDescent="0.45">
      <c r="A178" s="40" t="s">
        <v>2475</v>
      </c>
      <c r="B178" s="3" t="s">
        <v>2476</v>
      </c>
      <c r="C178" s="3">
        <v>773</v>
      </c>
      <c r="D178" s="23">
        <v>33843</v>
      </c>
      <c r="E178" s="3" t="s">
        <v>1</v>
      </c>
      <c r="F178" s="3" t="s">
        <v>1238</v>
      </c>
      <c r="G178" s="3">
        <v>7</v>
      </c>
      <c r="H178" s="3" t="s">
        <v>1107</v>
      </c>
      <c r="K178" s="43" t="s">
        <v>2477</v>
      </c>
      <c r="L178" s="61">
        <v>45228</v>
      </c>
      <c r="M178" s="23">
        <v>45880</v>
      </c>
      <c r="N178" s="23">
        <v>45230</v>
      </c>
      <c r="O178" s="23">
        <v>45258</v>
      </c>
      <c r="P178" s="23">
        <v>45427</v>
      </c>
    </row>
    <row r="179" spans="1:23" ht="24" customHeight="1" thickTop="1" thickBot="1" x14ac:dyDescent="0.45">
      <c r="A179" s="40" t="s">
        <v>2478</v>
      </c>
      <c r="B179" s="3" t="s">
        <v>2479</v>
      </c>
      <c r="C179" s="3">
        <v>629</v>
      </c>
      <c r="D179" s="23">
        <v>35341</v>
      </c>
      <c r="E179" s="3" t="s">
        <v>1</v>
      </c>
      <c r="F179" s="3" t="s">
        <v>6</v>
      </c>
      <c r="G179" s="3">
        <v>8</v>
      </c>
      <c r="H179" s="3" t="s">
        <v>1107</v>
      </c>
      <c r="K179" s="23" t="s">
        <v>2480</v>
      </c>
      <c r="L179" s="23">
        <v>45201</v>
      </c>
      <c r="M179" s="23">
        <v>45211</v>
      </c>
      <c r="N179" s="23">
        <v>45215</v>
      </c>
      <c r="O179" s="23">
        <v>45230</v>
      </c>
    </row>
    <row r="180" spans="1:23" ht="24" customHeight="1" thickTop="1" thickBot="1" x14ac:dyDescent="0.45">
      <c r="A180" s="40" t="s">
        <v>2481</v>
      </c>
      <c r="B180" s="3" t="s">
        <v>1775</v>
      </c>
      <c r="C180" s="3">
        <v>580</v>
      </c>
      <c r="D180" s="23">
        <v>35549</v>
      </c>
      <c r="E180" s="3" t="s">
        <v>1</v>
      </c>
      <c r="F180" s="3" t="s">
        <v>1238</v>
      </c>
      <c r="G180" s="3">
        <v>8</v>
      </c>
      <c r="H180" s="3" t="s">
        <v>1107</v>
      </c>
      <c r="K180" s="43" t="s">
        <v>1107</v>
      </c>
      <c r="L180" s="61"/>
      <c r="M180" s="23">
        <v>44955</v>
      </c>
    </row>
    <row r="181" spans="1:23" ht="24" customHeight="1" thickTop="1" thickBot="1" x14ac:dyDescent="0.45">
      <c r="A181" s="40" t="s">
        <v>2482</v>
      </c>
      <c r="B181" s="3" t="s">
        <v>1776</v>
      </c>
      <c r="C181" s="3">
        <v>850</v>
      </c>
      <c r="D181" s="23">
        <v>35347</v>
      </c>
      <c r="E181" s="3" t="s">
        <v>1</v>
      </c>
      <c r="F181" s="3" t="s">
        <v>1238</v>
      </c>
      <c r="G181" s="3" t="s">
        <v>2140</v>
      </c>
      <c r="H181" s="3" t="s">
        <v>1107</v>
      </c>
      <c r="K181" s="23" t="s">
        <v>1107</v>
      </c>
      <c r="M181" s="23">
        <v>46230</v>
      </c>
      <c r="N181" s="23">
        <v>46208</v>
      </c>
    </row>
    <row r="182" spans="1:23" ht="24" customHeight="1" thickTop="1" thickBot="1" x14ac:dyDescent="0.45">
      <c r="A182" s="40" t="s">
        <v>2483</v>
      </c>
      <c r="B182" s="3" t="s">
        <v>2484</v>
      </c>
      <c r="C182" s="3">
        <v>5</v>
      </c>
      <c r="D182" s="23">
        <v>32171</v>
      </c>
      <c r="E182" s="3" t="s">
        <v>43</v>
      </c>
      <c r="F182" s="3" t="s">
        <v>1239</v>
      </c>
      <c r="G182" s="3" t="s">
        <v>1264</v>
      </c>
      <c r="H182" s="3" t="s">
        <v>1749</v>
      </c>
      <c r="I182" s="3" t="s">
        <v>38</v>
      </c>
    </row>
    <row r="183" spans="1:23" ht="24" customHeight="1" thickTop="1" thickBot="1" x14ac:dyDescent="0.45">
      <c r="A183" s="40" t="s">
        <v>2485</v>
      </c>
      <c r="B183" s="3" t="s">
        <v>2486</v>
      </c>
      <c r="C183" s="3">
        <v>70</v>
      </c>
      <c r="D183" s="23">
        <v>33652</v>
      </c>
      <c r="E183" s="3" t="s">
        <v>43</v>
      </c>
      <c r="F183" s="3" t="s">
        <v>6</v>
      </c>
      <c r="G183" s="3" t="s">
        <v>1264</v>
      </c>
      <c r="H183" s="3" t="s">
        <v>1749</v>
      </c>
    </row>
    <row r="184" spans="1:23" ht="24" customHeight="1" thickTop="1" thickBot="1" x14ac:dyDescent="0.45">
      <c r="A184" s="40" t="s">
        <v>2487</v>
      </c>
      <c r="B184" s="3" t="s">
        <v>2488</v>
      </c>
      <c r="C184" s="3">
        <v>26</v>
      </c>
      <c r="D184" s="23">
        <v>34162</v>
      </c>
      <c r="E184" s="3" t="s">
        <v>43</v>
      </c>
      <c r="F184" s="3" t="s">
        <v>1238</v>
      </c>
      <c r="G184" s="3" t="s">
        <v>1264</v>
      </c>
      <c r="H184" s="3" t="s">
        <v>1749</v>
      </c>
    </row>
    <row r="185" spans="1:23" ht="24" customHeight="1" thickTop="1" thickBot="1" x14ac:dyDescent="0.45">
      <c r="A185" s="40" t="s">
        <v>2489</v>
      </c>
      <c r="B185" s="3" t="s">
        <v>2490</v>
      </c>
      <c r="C185" s="3">
        <v>110</v>
      </c>
      <c r="D185" s="23">
        <v>30725</v>
      </c>
      <c r="E185" s="3" t="s">
        <v>43</v>
      </c>
      <c r="F185" s="3" t="s">
        <v>1238</v>
      </c>
      <c r="G185" s="3" t="s">
        <v>1248</v>
      </c>
      <c r="H185" s="3" t="s">
        <v>1749</v>
      </c>
      <c r="I185" s="3" t="s">
        <v>38</v>
      </c>
    </row>
    <row r="186" spans="1:23" ht="24" customHeight="1" thickTop="1" thickBot="1" x14ac:dyDescent="0.45">
      <c r="A186" s="40" t="s">
        <v>2491</v>
      </c>
      <c r="B186" s="3" t="s">
        <v>2492</v>
      </c>
      <c r="C186" s="3">
        <v>247</v>
      </c>
      <c r="D186" s="23">
        <v>31188</v>
      </c>
      <c r="E186" s="3" t="s">
        <v>1</v>
      </c>
      <c r="F186" s="3" t="s">
        <v>1239</v>
      </c>
      <c r="G186" s="3">
        <v>0</v>
      </c>
      <c r="H186" s="3" t="s">
        <v>1749</v>
      </c>
      <c r="K186" s="23" t="s">
        <v>2493</v>
      </c>
      <c r="M186" s="23">
        <v>43447</v>
      </c>
      <c r="N186" s="23">
        <v>44387</v>
      </c>
      <c r="W186" s="30">
        <v>44387</v>
      </c>
    </row>
    <row r="187" spans="1:23" ht="24" customHeight="1" thickTop="1" thickBot="1" x14ac:dyDescent="0.45">
      <c r="A187" s="40" t="s">
        <v>2494</v>
      </c>
      <c r="B187" s="3" t="s">
        <v>2495</v>
      </c>
      <c r="C187" s="3">
        <v>339</v>
      </c>
      <c r="D187" s="23">
        <v>36069</v>
      </c>
      <c r="E187" s="3" t="s">
        <v>1</v>
      </c>
      <c r="F187" s="3" t="s">
        <v>1238</v>
      </c>
      <c r="G187" s="3">
        <v>2</v>
      </c>
      <c r="H187" s="3" t="s">
        <v>1749</v>
      </c>
      <c r="K187" s="23" t="s">
        <v>2496</v>
      </c>
      <c r="L187" s="23">
        <v>44089</v>
      </c>
      <c r="M187" s="23">
        <v>44268</v>
      </c>
      <c r="N187" s="23">
        <v>44522</v>
      </c>
      <c r="S187" s="23">
        <v>44522</v>
      </c>
      <c r="T187" s="23">
        <v>45163</v>
      </c>
      <c r="U187" s="23">
        <v>45523</v>
      </c>
    </row>
    <row r="188" spans="1:23" ht="24" customHeight="1" thickTop="1" thickBot="1" x14ac:dyDescent="0.45">
      <c r="A188" s="40" t="s">
        <v>2497</v>
      </c>
      <c r="B188" s="3" t="s">
        <v>2498</v>
      </c>
      <c r="C188" s="3">
        <v>274</v>
      </c>
      <c r="D188" s="23">
        <v>34738</v>
      </c>
      <c r="E188" s="3" t="s">
        <v>1</v>
      </c>
      <c r="F188" s="3" t="s">
        <v>1238</v>
      </c>
      <c r="G188" s="3">
        <v>3</v>
      </c>
      <c r="H188" s="3" t="s">
        <v>1749</v>
      </c>
      <c r="K188" s="23" t="s">
        <v>1752</v>
      </c>
      <c r="L188" s="23">
        <v>43531</v>
      </c>
      <c r="M188" s="23">
        <v>43570</v>
      </c>
      <c r="N188" s="23">
        <v>45049</v>
      </c>
      <c r="P188" s="23">
        <v>45049</v>
      </c>
      <c r="Q188" s="23">
        <v>45151</v>
      </c>
      <c r="R188" s="23">
        <v>45197</v>
      </c>
      <c r="S188" s="23">
        <v>45460</v>
      </c>
      <c r="T188" s="23">
        <v>46053</v>
      </c>
    </row>
    <row r="189" spans="1:23" ht="24" customHeight="1" thickTop="1" thickBot="1" x14ac:dyDescent="0.45">
      <c r="A189" s="40" t="s">
        <v>2499</v>
      </c>
      <c r="B189" s="3" t="s">
        <v>2500</v>
      </c>
      <c r="C189" s="3">
        <v>513</v>
      </c>
      <c r="D189" s="23">
        <v>35069</v>
      </c>
      <c r="E189" s="3" t="s">
        <v>1</v>
      </c>
      <c r="F189" s="3" t="s">
        <v>6</v>
      </c>
      <c r="G189" s="3">
        <v>4</v>
      </c>
      <c r="H189" s="3" t="s">
        <v>1749</v>
      </c>
      <c r="K189" s="23" t="s">
        <v>2501</v>
      </c>
      <c r="L189" s="23">
        <v>44656</v>
      </c>
      <c r="M189" s="23">
        <v>44661</v>
      </c>
      <c r="N189" s="23">
        <v>44684</v>
      </c>
      <c r="O189" s="23">
        <v>44728</v>
      </c>
      <c r="P189" s="23">
        <v>44769</v>
      </c>
      <c r="Q189" s="23">
        <v>45197</v>
      </c>
      <c r="R189" s="23">
        <v>45376</v>
      </c>
      <c r="S189" s="23">
        <v>45669</v>
      </c>
    </row>
    <row r="190" spans="1:23" ht="24" customHeight="1" thickTop="1" thickBot="1" x14ac:dyDescent="0.45">
      <c r="A190" s="40" t="s">
        <v>2502</v>
      </c>
      <c r="B190" s="3" t="s">
        <v>2503</v>
      </c>
      <c r="C190" s="3">
        <v>707</v>
      </c>
      <c r="D190" s="23">
        <v>35601</v>
      </c>
      <c r="E190" s="3" t="s">
        <v>1</v>
      </c>
      <c r="F190" s="3" t="s">
        <v>1239</v>
      </c>
      <c r="G190" s="3">
        <v>6</v>
      </c>
      <c r="H190" s="3" t="s">
        <v>1749</v>
      </c>
      <c r="K190" s="23" t="s">
        <v>1753</v>
      </c>
      <c r="L190" s="23">
        <v>45486</v>
      </c>
      <c r="M190" s="23">
        <v>45517</v>
      </c>
      <c r="N190" s="23">
        <v>45523</v>
      </c>
      <c r="O190" s="23">
        <v>45540</v>
      </c>
      <c r="P190" s="23">
        <v>45832</v>
      </c>
      <c r="Q190" s="23">
        <v>46053</v>
      </c>
    </row>
    <row r="191" spans="1:23" ht="24" customHeight="1" thickTop="1" thickBot="1" x14ac:dyDescent="0.45">
      <c r="A191" s="40" t="s">
        <v>2504</v>
      </c>
      <c r="B191" s="3" t="s">
        <v>2505</v>
      </c>
      <c r="C191" s="3">
        <v>687</v>
      </c>
      <c r="D191" s="23">
        <v>35075</v>
      </c>
      <c r="E191" s="3" t="s">
        <v>1</v>
      </c>
      <c r="F191" s="3" t="s">
        <v>1239</v>
      </c>
      <c r="G191" s="3">
        <v>7</v>
      </c>
      <c r="H191" s="3" t="s">
        <v>1749</v>
      </c>
      <c r="K191" s="43" t="s">
        <v>2506</v>
      </c>
      <c r="L191" s="61">
        <v>45356</v>
      </c>
      <c r="M191" s="23">
        <v>45442</v>
      </c>
      <c r="N191" s="23">
        <v>45376</v>
      </c>
      <c r="O191" s="23">
        <v>45474</v>
      </c>
      <c r="P191" s="23">
        <v>46053</v>
      </c>
    </row>
    <row r="192" spans="1:23" ht="24" customHeight="1" thickTop="1" thickBot="1" x14ac:dyDescent="0.45">
      <c r="A192" s="40" t="s">
        <v>2507</v>
      </c>
      <c r="B192" s="3" t="s">
        <v>2508</v>
      </c>
      <c r="C192" s="3">
        <v>601</v>
      </c>
      <c r="D192" s="23">
        <v>36330</v>
      </c>
      <c r="E192" s="3" t="s">
        <v>1</v>
      </c>
      <c r="F192" s="3" t="s">
        <v>6</v>
      </c>
      <c r="G192" s="3">
        <v>7</v>
      </c>
      <c r="H192" s="3" t="s">
        <v>1749</v>
      </c>
      <c r="K192" s="23" t="s">
        <v>1754</v>
      </c>
      <c r="L192" s="23">
        <v>45054</v>
      </c>
      <c r="M192" s="23">
        <v>45077</v>
      </c>
      <c r="N192" s="23">
        <v>45070</v>
      </c>
      <c r="O192" s="23">
        <v>45070</v>
      </c>
      <c r="P192" s="23">
        <v>45230</v>
      </c>
    </row>
    <row r="193" spans="1:21" ht="24" customHeight="1" thickTop="1" thickBot="1" x14ac:dyDescent="0.45">
      <c r="A193" s="40" t="s">
        <v>2509</v>
      </c>
      <c r="B193" s="3" t="s">
        <v>2510</v>
      </c>
      <c r="C193" s="3">
        <v>728</v>
      </c>
      <c r="D193" s="23">
        <v>36827</v>
      </c>
      <c r="E193" s="3" t="s">
        <v>1</v>
      </c>
      <c r="F193" s="3" t="s">
        <v>1238</v>
      </c>
      <c r="G193" s="3">
        <v>7</v>
      </c>
      <c r="H193" s="3" t="s">
        <v>1749</v>
      </c>
      <c r="K193" s="23" t="s">
        <v>1755</v>
      </c>
      <c r="L193" s="23">
        <v>45569</v>
      </c>
      <c r="M193" s="23">
        <v>45627</v>
      </c>
      <c r="N193" s="23">
        <v>45573</v>
      </c>
      <c r="O193" s="23">
        <v>45693</v>
      </c>
      <c r="P193" s="23">
        <v>45985</v>
      </c>
    </row>
    <row r="194" spans="1:21" ht="24" customHeight="1" thickTop="1" thickBot="1" x14ac:dyDescent="0.45">
      <c r="A194" s="40" t="s">
        <v>2511</v>
      </c>
      <c r="B194" s="3" t="s">
        <v>2512</v>
      </c>
      <c r="C194" s="3">
        <v>814</v>
      </c>
      <c r="D194" s="23">
        <v>38357</v>
      </c>
      <c r="E194" s="3" t="s">
        <v>1</v>
      </c>
      <c r="F194" s="3" t="s">
        <v>6</v>
      </c>
      <c r="G194" s="3">
        <v>8</v>
      </c>
      <c r="H194" s="3" t="s">
        <v>1749</v>
      </c>
      <c r="K194" s="23" t="s">
        <v>2513</v>
      </c>
      <c r="L194" s="23">
        <v>45879</v>
      </c>
      <c r="M194" s="23">
        <v>45930</v>
      </c>
      <c r="N194" s="23">
        <v>45897</v>
      </c>
      <c r="O194" s="23">
        <v>46053</v>
      </c>
    </row>
    <row r="195" spans="1:21" ht="24" customHeight="1" thickTop="1" thickBot="1" x14ac:dyDescent="0.45">
      <c r="A195" s="40" t="s">
        <v>64</v>
      </c>
      <c r="B195" s="3" t="s">
        <v>2514</v>
      </c>
      <c r="C195" s="3">
        <v>24</v>
      </c>
      <c r="D195" s="23">
        <v>33741</v>
      </c>
      <c r="E195" s="3" t="s">
        <v>43</v>
      </c>
      <c r="F195" s="3" t="s">
        <v>1239</v>
      </c>
      <c r="G195" s="3" t="s">
        <v>1264</v>
      </c>
      <c r="H195" s="3" t="s">
        <v>1761</v>
      </c>
    </row>
    <row r="196" spans="1:21" ht="24" customHeight="1" thickTop="1" thickBot="1" x14ac:dyDescent="0.45">
      <c r="A196" s="40" t="s">
        <v>2515</v>
      </c>
      <c r="B196" s="3" t="s">
        <v>2516</v>
      </c>
      <c r="C196" s="3">
        <v>9</v>
      </c>
      <c r="D196" s="23">
        <v>34317</v>
      </c>
      <c r="E196" s="3" t="s">
        <v>43</v>
      </c>
      <c r="F196" s="3" t="s">
        <v>1238</v>
      </c>
      <c r="G196" s="3" t="s">
        <v>1264</v>
      </c>
      <c r="H196" s="3" t="s">
        <v>1761</v>
      </c>
    </row>
    <row r="197" spans="1:21" ht="24" customHeight="1" thickTop="1" thickBot="1" x14ac:dyDescent="0.45">
      <c r="A197" s="40" t="s">
        <v>2517</v>
      </c>
      <c r="B197" s="3" t="s">
        <v>2518</v>
      </c>
      <c r="C197" s="3">
        <v>55</v>
      </c>
      <c r="D197" s="23">
        <v>33565</v>
      </c>
      <c r="E197" s="3" t="s">
        <v>43</v>
      </c>
      <c r="F197" s="3" t="s">
        <v>1238</v>
      </c>
      <c r="G197" s="3" t="s">
        <v>1262</v>
      </c>
      <c r="H197" s="3" t="s">
        <v>1761</v>
      </c>
    </row>
    <row r="198" spans="1:21" ht="24" customHeight="1" thickTop="1" thickBot="1" x14ac:dyDescent="0.45">
      <c r="A198" s="40" t="s">
        <v>2519</v>
      </c>
      <c r="B198" s="3" t="s">
        <v>1781</v>
      </c>
      <c r="D198" s="23">
        <v>34306</v>
      </c>
      <c r="E198" s="3" t="s">
        <v>43</v>
      </c>
      <c r="F198" s="3" t="s">
        <v>6</v>
      </c>
      <c r="G198" s="3" t="s">
        <v>3749</v>
      </c>
      <c r="H198" s="3" t="s">
        <v>1761</v>
      </c>
      <c r="I198" s="3" t="s">
        <v>38</v>
      </c>
    </row>
    <row r="199" spans="1:21" ht="24" customHeight="1" thickTop="1" thickBot="1" x14ac:dyDescent="0.45">
      <c r="A199" s="40" t="s">
        <v>2520</v>
      </c>
      <c r="B199" s="3" t="s">
        <v>2521</v>
      </c>
      <c r="C199" s="3">
        <v>206</v>
      </c>
      <c r="D199" s="23">
        <v>33392</v>
      </c>
      <c r="E199" s="3" t="s">
        <v>1</v>
      </c>
      <c r="F199" s="3" t="s">
        <v>6</v>
      </c>
      <c r="G199" s="3">
        <v>2</v>
      </c>
      <c r="H199" s="3" t="s">
        <v>1761</v>
      </c>
      <c r="K199" s="23" t="s">
        <v>2522</v>
      </c>
      <c r="L199" s="23">
        <v>42756</v>
      </c>
      <c r="M199" s="23">
        <v>43303</v>
      </c>
      <c r="N199" s="23">
        <v>44387</v>
      </c>
      <c r="U199" s="23">
        <v>44387</v>
      </c>
    </row>
    <row r="200" spans="1:21" ht="24" customHeight="1" thickTop="1" thickBot="1" x14ac:dyDescent="0.45">
      <c r="A200" s="40" t="s">
        <v>2523</v>
      </c>
      <c r="B200" s="3" t="s">
        <v>2524</v>
      </c>
      <c r="C200" s="3">
        <v>350</v>
      </c>
      <c r="D200" s="23">
        <v>32081</v>
      </c>
      <c r="E200" s="3" t="s">
        <v>1</v>
      </c>
      <c r="F200" s="3" t="s">
        <v>1238</v>
      </c>
      <c r="G200" s="3">
        <v>4</v>
      </c>
      <c r="H200" s="3" t="s">
        <v>1761</v>
      </c>
      <c r="K200" s="23" t="s">
        <v>2525</v>
      </c>
      <c r="M200" s="23">
        <v>44301</v>
      </c>
      <c r="N200" s="23">
        <v>44643</v>
      </c>
      <c r="Q200" s="23">
        <v>44643</v>
      </c>
      <c r="R200" s="23">
        <v>45258</v>
      </c>
      <c r="S200" s="23">
        <v>45693</v>
      </c>
    </row>
    <row r="201" spans="1:21" ht="24" customHeight="1" thickTop="1" thickBot="1" x14ac:dyDescent="0.45">
      <c r="A201" s="40" t="s">
        <v>2526</v>
      </c>
      <c r="B201" s="3" t="s">
        <v>2527</v>
      </c>
      <c r="C201" s="3">
        <v>677</v>
      </c>
      <c r="D201" s="23">
        <v>36865</v>
      </c>
      <c r="E201" s="3" t="s">
        <v>1</v>
      </c>
      <c r="F201" s="3" t="s">
        <v>1238</v>
      </c>
      <c r="G201" s="3">
        <v>5</v>
      </c>
      <c r="H201" s="3" t="s">
        <v>1761</v>
      </c>
      <c r="K201" s="23" t="s">
        <v>2528</v>
      </c>
      <c r="L201" s="23">
        <v>45407</v>
      </c>
      <c r="M201" s="23">
        <v>45407</v>
      </c>
      <c r="N201" s="23">
        <v>45411</v>
      </c>
      <c r="Q201" s="23">
        <v>45411</v>
      </c>
      <c r="R201" s="23">
        <v>46019</v>
      </c>
    </row>
    <row r="202" spans="1:21" ht="24" customHeight="1" thickTop="1" thickBot="1" x14ac:dyDescent="0.45">
      <c r="A202" s="40" t="s">
        <v>2529</v>
      </c>
      <c r="B202" s="3" t="s">
        <v>2530</v>
      </c>
      <c r="C202" s="3">
        <v>786</v>
      </c>
      <c r="D202" s="23">
        <v>38204</v>
      </c>
      <c r="E202" s="3" t="s">
        <v>1</v>
      </c>
      <c r="F202" s="3" t="s">
        <v>1239</v>
      </c>
      <c r="G202" s="3">
        <v>7</v>
      </c>
      <c r="H202" s="3" t="s">
        <v>1761</v>
      </c>
      <c r="K202" s="23" t="s">
        <v>2531</v>
      </c>
      <c r="L202" s="23">
        <v>45866</v>
      </c>
      <c r="M202" s="23">
        <v>45899</v>
      </c>
      <c r="N202" s="23">
        <v>45897</v>
      </c>
      <c r="O202" s="23">
        <v>45985</v>
      </c>
      <c r="P202" s="23">
        <v>46148</v>
      </c>
    </row>
    <row r="203" spans="1:21" ht="24" customHeight="1" thickTop="1" thickBot="1" x14ac:dyDescent="0.45">
      <c r="A203" s="40" t="s">
        <v>2532</v>
      </c>
      <c r="B203" s="3" t="s">
        <v>2533</v>
      </c>
      <c r="C203" s="3">
        <v>734</v>
      </c>
      <c r="D203" s="23">
        <v>35451</v>
      </c>
      <c r="E203" s="3" t="s">
        <v>1</v>
      </c>
      <c r="F203" s="3" t="s">
        <v>1238</v>
      </c>
      <c r="G203" s="3">
        <v>7</v>
      </c>
      <c r="H203" s="3" t="s">
        <v>1761</v>
      </c>
      <c r="K203" s="23" t="s">
        <v>2534</v>
      </c>
      <c r="L203" s="23">
        <v>45638</v>
      </c>
      <c r="M203" s="23">
        <v>45665</v>
      </c>
      <c r="N203" s="23">
        <v>45650</v>
      </c>
      <c r="O203" s="23">
        <v>45739</v>
      </c>
      <c r="P203" s="23">
        <v>46124</v>
      </c>
    </row>
    <row r="204" spans="1:21" ht="24" customHeight="1" thickTop="1" thickBot="1" x14ac:dyDescent="0.45">
      <c r="A204" s="40" t="s">
        <v>2535</v>
      </c>
      <c r="B204" s="3" t="s">
        <v>1457</v>
      </c>
      <c r="C204" s="3">
        <v>821</v>
      </c>
      <c r="D204" s="23">
        <v>38892</v>
      </c>
      <c r="E204" s="3" t="s">
        <v>1</v>
      </c>
      <c r="F204" s="3" t="s">
        <v>1239</v>
      </c>
      <c r="G204" s="3">
        <v>8</v>
      </c>
      <c r="H204" s="3" t="s">
        <v>1761</v>
      </c>
      <c r="K204" s="23" t="s">
        <v>2536</v>
      </c>
      <c r="L204" s="23">
        <v>46031</v>
      </c>
      <c r="M204" s="23">
        <v>46056</v>
      </c>
      <c r="N204" s="23">
        <v>46053</v>
      </c>
      <c r="O204" s="23">
        <v>46148</v>
      </c>
    </row>
    <row r="205" spans="1:21" ht="24" customHeight="1" thickTop="1" thickBot="1" x14ac:dyDescent="0.45">
      <c r="A205" s="40" t="s">
        <v>2537</v>
      </c>
      <c r="B205" s="3" t="s">
        <v>2538</v>
      </c>
      <c r="C205" s="3">
        <v>824</v>
      </c>
      <c r="D205" s="23">
        <v>35516</v>
      </c>
      <c r="E205" s="3" t="s">
        <v>1</v>
      </c>
      <c r="F205" s="3" t="s">
        <v>1238</v>
      </c>
      <c r="G205" s="3">
        <v>8</v>
      </c>
      <c r="H205" s="3" t="s">
        <v>1761</v>
      </c>
      <c r="K205" s="43" t="s">
        <v>2539</v>
      </c>
      <c r="L205" s="61">
        <v>45867</v>
      </c>
      <c r="M205" s="23" t="s">
        <v>2540</v>
      </c>
      <c r="N205" s="23">
        <v>45930</v>
      </c>
      <c r="O205" s="23">
        <v>45985</v>
      </c>
    </row>
    <row r="206" spans="1:21" ht="24" customHeight="1" thickTop="1" thickBot="1" x14ac:dyDescent="0.45">
      <c r="A206" s="40" t="s">
        <v>2541</v>
      </c>
      <c r="B206" s="3" t="s">
        <v>2542</v>
      </c>
      <c r="C206" s="3">
        <v>122</v>
      </c>
      <c r="D206" s="23">
        <v>35207</v>
      </c>
      <c r="E206" s="3" t="s">
        <v>43</v>
      </c>
      <c r="F206" s="3" t="s">
        <v>6</v>
      </c>
      <c r="G206" s="3" t="s">
        <v>1262</v>
      </c>
      <c r="H206" s="3" t="s">
        <v>1782</v>
      </c>
    </row>
    <row r="207" spans="1:21" ht="24" customHeight="1" thickTop="1" thickBot="1" x14ac:dyDescent="0.45">
      <c r="A207" s="40" t="s">
        <v>2543</v>
      </c>
      <c r="B207" s="3" t="s">
        <v>2544</v>
      </c>
      <c r="C207" s="3">
        <v>19</v>
      </c>
      <c r="D207" s="23">
        <v>31878</v>
      </c>
      <c r="E207" s="3" t="s">
        <v>43</v>
      </c>
      <c r="F207" s="3" t="s">
        <v>6</v>
      </c>
      <c r="G207" s="3" t="s">
        <v>1262</v>
      </c>
      <c r="H207" s="3" t="s">
        <v>1782</v>
      </c>
    </row>
    <row r="208" spans="1:21" ht="24" customHeight="1" thickTop="1" thickBot="1" x14ac:dyDescent="0.45">
      <c r="A208" s="40" t="s">
        <v>2545</v>
      </c>
      <c r="B208" s="3" t="s">
        <v>2546</v>
      </c>
      <c r="C208" s="3">
        <v>6187</v>
      </c>
      <c r="D208" s="23">
        <v>34383</v>
      </c>
      <c r="E208" s="3" t="s">
        <v>43</v>
      </c>
      <c r="F208" s="3" t="s">
        <v>6</v>
      </c>
      <c r="G208" s="3">
        <v>2</v>
      </c>
      <c r="H208" s="3" t="s">
        <v>1782</v>
      </c>
      <c r="I208" s="3" t="s">
        <v>38</v>
      </c>
    </row>
    <row r="209" spans="1:20" ht="24" customHeight="1" thickTop="1" thickBot="1" x14ac:dyDescent="0.45">
      <c r="A209" s="40" t="s">
        <v>2547</v>
      </c>
      <c r="B209" s="3" t="s">
        <v>1784</v>
      </c>
      <c r="C209" s="3">
        <v>6372</v>
      </c>
      <c r="D209" s="23" t="s">
        <v>3750</v>
      </c>
      <c r="E209" s="3" t="s">
        <v>43</v>
      </c>
      <c r="F209" s="3" t="s">
        <v>1239</v>
      </c>
      <c r="G209" s="3" t="s">
        <v>3749</v>
      </c>
      <c r="H209" s="3" t="s">
        <v>1782</v>
      </c>
    </row>
    <row r="210" spans="1:20" ht="24" customHeight="1" thickTop="1" thickBot="1" x14ac:dyDescent="0.45">
      <c r="A210" s="40" t="s">
        <v>33</v>
      </c>
      <c r="B210" s="3" t="s">
        <v>2548</v>
      </c>
      <c r="C210" s="3">
        <v>576</v>
      </c>
      <c r="D210" s="23">
        <v>35646</v>
      </c>
      <c r="E210" s="3" t="s">
        <v>1</v>
      </c>
      <c r="F210" s="3" t="s">
        <v>6</v>
      </c>
      <c r="G210" s="3">
        <v>4</v>
      </c>
      <c r="H210" s="3" t="s">
        <v>1782</v>
      </c>
      <c r="K210" s="23" t="s">
        <v>2549</v>
      </c>
      <c r="L210" s="23">
        <v>44748</v>
      </c>
      <c r="M210" s="23">
        <v>44954</v>
      </c>
      <c r="N210" s="23">
        <v>44748</v>
      </c>
      <c r="O210" s="23">
        <v>44769</v>
      </c>
      <c r="P210" s="23">
        <v>44994</v>
      </c>
      <c r="Q210" s="23">
        <v>45230</v>
      </c>
      <c r="R210" s="23">
        <v>45376</v>
      </c>
      <c r="S210" s="23">
        <v>45776</v>
      </c>
    </row>
    <row r="211" spans="1:20" ht="24" customHeight="1" thickTop="1" thickBot="1" x14ac:dyDescent="0.45">
      <c r="A211" s="40" t="s">
        <v>36</v>
      </c>
      <c r="B211" s="3" t="s">
        <v>2550</v>
      </c>
      <c r="C211" s="3">
        <v>504</v>
      </c>
      <c r="D211" s="23">
        <v>34316</v>
      </c>
      <c r="E211" s="3" t="s">
        <v>1</v>
      </c>
      <c r="F211" s="3" t="s">
        <v>6</v>
      </c>
      <c r="G211" s="3">
        <v>5</v>
      </c>
      <c r="H211" s="3" t="s">
        <v>1782</v>
      </c>
      <c r="K211" s="23" t="s">
        <v>2551</v>
      </c>
      <c r="L211" s="23">
        <v>44543</v>
      </c>
      <c r="M211" s="23">
        <v>44641</v>
      </c>
      <c r="N211" s="23">
        <v>44543</v>
      </c>
      <c r="O211" s="23">
        <v>44643</v>
      </c>
      <c r="P211" s="23">
        <v>44684</v>
      </c>
      <c r="Q211" s="23">
        <v>44849</v>
      </c>
      <c r="R211" s="23">
        <v>45197</v>
      </c>
    </row>
    <row r="212" spans="1:20" ht="24" customHeight="1" thickTop="1" thickBot="1" x14ac:dyDescent="0.45">
      <c r="A212" s="40" t="s">
        <v>2552</v>
      </c>
      <c r="B212" s="3" t="s">
        <v>2553</v>
      </c>
      <c r="C212" s="3">
        <v>544</v>
      </c>
      <c r="D212" s="23">
        <v>34922</v>
      </c>
      <c r="E212" s="3" t="s">
        <v>1</v>
      </c>
      <c r="F212" s="3" t="s">
        <v>1238</v>
      </c>
      <c r="G212" s="3">
        <v>5</v>
      </c>
      <c r="H212" s="3" t="s">
        <v>1782</v>
      </c>
      <c r="K212" s="23" t="s">
        <v>2554</v>
      </c>
      <c r="L212" s="23">
        <v>44513</v>
      </c>
      <c r="M212" s="23">
        <v>44766</v>
      </c>
      <c r="N212" s="23">
        <v>44513</v>
      </c>
      <c r="O212" s="23">
        <v>44513</v>
      </c>
      <c r="P212" s="23">
        <v>45049</v>
      </c>
      <c r="Q212" s="23">
        <v>45197</v>
      </c>
      <c r="R212" s="23">
        <v>45856</v>
      </c>
    </row>
    <row r="213" spans="1:20" ht="24" customHeight="1" thickTop="1" thickBot="1" x14ac:dyDescent="0.45">
      <c r="A213" s="40" t="s">
        <v>2555</v>
      </c>
      <c r="B213" s="3" t="s">
        <v>2556</v>
      </c>
      <c r="C213" s="3">
        <v>724</v>
      </c>
      <c r="D213" s="23">
        <v>36531</v>
      </c>
      <c r="E213" s="3" t="s">
        <v>1</v>
      </c>
      <c r="F213" s="3" t="s">
        <v>6</v>
      </c>
      <c r="G213" s="3">
        <v>6</v>
      </c>
      <c r="H213" s="3" t="s">
        <v>1782</v>
      </c>
      <c r="K213" s="23" t="s">
        <v>2557</v>
      </c>
      <c r="L213" s="23">
        <v>45546</v>
      </c>
      <c r="M213" s="23">
        <v>45588</v>
      </c>
      <c r="N213" s="23">
        <v>45558</v>
      </c>
      <c r="O213" s="23">
        <v>45650</v>
      </c>
      <c r="P213" s="23">
        <v>45760</v>
      </c>
      <c r="Q213" s="23">
        <v>46019</v>
      </c>
    </row>
    <row r="214" spans="1:20" ht="24" customHeight="1" thickTop="1" thickBot="1" x14ac:dyDescent="0.45">
      <c r="A214" s="40" t="s">
        <v>31</v>
      </c>
      <c r="B214" s="3" t="s">
        <v>2558</v>
      </c>
      <c r="C214" s="3">
        <v>715</v>
      </c>
      <c r="D214" s="23">
        <v>34786</v>
      </c>
      <c r="E214" s="3" t="s">
        <v>1</v>
      </c>
      <c r="F214" s="3" t="s">
        <v>1238</v>
      </c>
      <c r="G214" s="3">
        <v>7</v>
      </c>
      <c r="H214" s="3" t="s">
        <v>1782</v>
      </c>
      <c r="K214" s="23" t="s">
        <v>2559</v>
      </c>
      <c r="L214" s="23">
        <v>45512</v>
      </c>
      <c r="M214" s="23">
        <v>45546</v>
      </c>
      <c r="N214" s="23">
        <v>45523</v>
      </c>
      <c r="O214" s="23">
        <v>45599</v>
      </c>
      <c r="P214" s="23">
        <v>45776</v>
      </c>
    </row>
    <row r="215" spans="1:20" ht="24" customHeight="1" thickTop="1" thickBot="1" x14ac:dyDescent="0.45">
      <c r="A215" s="40" t="s">
        <v>2560</v>
      </c>
      <c r="B215" s="3" t="s">
        <v>2561</v>
      </c>
      <c r="C215" s="3">
        <v>731</v>
      </c>
      <c r="D215" s="23">
        <v>38033</v>
      </c>
      <c r="E215" s="3" t="s">
        <v>1</v>
      </c>
      <c r="F215" s="3" t="s">
        <v>1239</v>
      </c>
      <c r="G215" s="3">
        <v>8</v>
      </c>
      <c r="H215" s="3" t="s">
        <v>1782</v>
      </c>
      <c r="K215" s="23" t="s">
        <v>2562</v>
      </c>
      <c r="L215" s="23">
        <v>45636</v>
      </c>
      <c r="M215" s="23">
        <v>45650</v>
      </c>
      <c r="N215" s="23">
        <v>45650</v>
      </c>
      <c r="O215" s="23">
        <v>45897</v>
      </c>
    </row>
    <row r="216" spans="1:20" ht="24" customHeight="1" thickTop="1" thickBot="1" x14ac:dyDescent="0.45">
      <c r="A216" s="40" t="s">
        <v>2563</v>
      </c>
      <c r="B216" s="3" t="s">
        <v>2564</v>
      </c>
      <c r="C216" s="3">
        <v>806</v>
      </c>
      <c r="D216" s="23">
        <v>36177</v>
      </c>
      <c r="E216" s="3" t="s">
        <v>1</v>
      </c>
      <c r="F216" s="3" t="s">
        <v>6</v>
      </c>
      <c r="G216" s="3">
        <v>8</v>
      </c>
      <c r="H216" s="3" t="s">
        <v>1782</v>
      </c>
      <c r="K216" s="23" t="s">
        <v>2565</v>
      </c>
      <c r="L216" s="23">
        <v>45976</v>
      </c>
      <c r="M216" s="23">
        <v>45987</v>
      </c>
      <c r="N216" s="23">
        <v>45985</v>
      </c>
      <c r="O216" s="23">
        <v>46076</v>
      </c>
    </row>
    <row r="217" spans="1:20" ht="24" customHeight="1" thickTop="1" thickBot="1" x14ac:dyDescent="0.45">
      <c r="A217" s="40" t="s">
        <v>2566</v>
      </c>
      <c r="B217" s="3" t="s">
        <v>2567</v>
      </c>
      <c r="C217" s="3">
        <v>6487</v>
      </c>
      <c r="D217" s="23">
        <v>37882</v>
      </c>
      <c r="E217" s="3" t="s">
        <v>1</v>
      </c>
      <c r="F217" s="3" t="s">
        <v>1238</v>
      </c>
      <c r="G217" s="3" t="s">
        <v>2140</v>
      </c>
      <c r="H217" s="3" t="s">
        <v>1782</v>
      </c>
      <c r="K217" s="23" t="s">
        <v>1782</v>
      </c>
      <c r="L217" s="23">
        <v>46259</v>
      </c>
      <c r="N217" s="23">
        <v>46263</v>
      </c>
    </row>
    <row r="218" spans="1:20" ht="24" customHeight="1" thickTop="1" thickBot="1" x14ac:dyDescent="0.45">
      <c r="A218" s="40" t="s">
        <v>48</v>
      </c>
      <c r="B218" s="3" t="s">
        <v>2568</v>
      </c>
      <c r="C218" s="3">
        <v>4</v>
      </c>
      <c r="D218" s="23">
        <v>33058</v>
      </c>
      <c r="E218" s="3" t="s">
        <v>43</v>
      </c>
      <c r="F218" s="3" t="s">
        <v>1238</v>
      </c>
      <c r="G218" s="3" t="s">
        <v>1277</v>
      </c>
      <c r="H218" s="3" t="s">
        <v>1764</v>
      </c>
      <c r="I218" s="3" t="s">
        <v>38</v>
      </c>
    </row>
    <row r="219" spans="1:20" ht="24" customHeight="1" thickTop="1" thickBot="1" x14ac:dyDescent="0.45">
      <c r="A219" s="40" t="s">
        <v>59</v>
      </c>
      <c r="B219" s="3" t="s">
        <v>2569</v>
      </c>
      <c r="C219" s="3">
        <v>31</v>
      </c>
      <c r="D219" s="23">
        <v>33443</v>
      </c>
      <c r="E219" s="3" t="s">
        <v>43</v>
      </c>
      <c r="F219" s="3" t="s">
        <v>1239</v>
      </c>
      <c r="G219" s="3" t="s">
        <v>1264</v>
      </c>
      <c r="H219" s="3" t="s">
        <v>1764</v>
      </c>
    </row>
    <row r="220" spans="1:20" ht="24" customHeight="1" thickTop="1" thickBot="1" x14ac:dyDescent="0.45">
      <c r="A220" s="40" t="s">
        <v>2570</v>
      </c>
      <c r="B220" s="3" t="s">
        <v>2571</v>
      </c>
      <c r="C220" s="3">
        <v>180</v>
      </c>
      <c r="D220" s="23">
        <v>33871</v>
      </c>
      <c r="E220" s="3" t="s">
        <v>43</v>
      </c>
      <c r="F220" s="3" t="s">
        <v>6</v>
      </c>
      <c r="G220" s="3" t="s">
        <v>1264</v>
      </c>
      <c r="H220" s="3" t="s">
        <v>1764</v>
      </c>
    </row>
    <row r="221" spans="1:20" ht="24" customHeight="1" thickTop="1" thickBot="1" x14ac:dyDescent="0.45">
      <c r="A221" s="40" t="s">
        <v>2572</v>
      </c>
      <c r="B221" s="3" t="s">
        <v>2573</v>
      </c>
      <c r="C221" s="3">
        <v>69</v>
      </c>
      <c r="D221" s="23">
        <v>32338</v>
      </c>
      <c r="E221" s="3" t="s">
        <v>43</v>
      </c>
      <c r="F221" s="3" t="s">
        <v>1238</v>
      </c>
      <c r="G221" s="3" t="s">
        <v>1264</v>
      </c>
      <c r="H221" s="3" t="s">
        <v>1764</v>
      </c>
    </row>
    <row r="222" spans="1:20" ht="24" customHeight="1" thickTop="1" thickBot="1" x14ac:dyDescent="0.45">
      <c r="A222" s="40" t="s">
        <v>2574</v>
      </c>
      <c r="B222" s="3" t="s">
        <v>1406</v>
      </c>
      <c r="C222" s="3">
        <v>6488</v>
      </c>
      <c r="D222" s="23">
        <v>32196</v>
      </c>
      <c r="E222" s="3" t="s">
        <v>43</v>
      </c>
      <c r="F222" s="3" t="s">
        <v>1239</v>
      </c>
      <c r="G222" s="3">
        <v>0</v>
      </c>
      <c r="H222" s="3" t="s">
        <v>1764</v>
      </c>
    </row>
    <row r="223" spans="1:20" ht="24" customHeight="1" thickTop="1" thickBot="1" x14ac:dyDescent="0.45">
      <c r="A223" s="40" t="s">
        <v>2575</v>
      </c>
      <c r="B223" s="3" t="s">
        <v>2576</v>
      </c>
      <c r="C223" s="3">
        <v>326</v>
      </c>
      <c r="D223" s="23">
        <v>36791</v>
      </c>
      <c r="E223" s="3" t="s">
        <v>1</v>
      </c>
      <c r="F223" s="3" t="s">
        <v>6</v>
      </c>
      <c r="G223" s="3">
        <v>3</v>
      </c>
      <c r="H223" s="3" t="s">
        <v>1764</v>
      </c>
      <c r="K223" s="23" t="s">
        <v>2577</v>
      </c>
      <c r="L223" s="23">
        <v>44229</v>
      </c>
      <c r="M223" s="23">
        <v>44268</v>
      </c>
      <c r="N223" s="23">
        <v>44387</v>
      </c>
      <c r="R223" s="23">
        <v>44387</v>
      </c>
      <c r="S223" s="23">
        <v>45272</v>
      </c>
      <c r="T223" s="23">
        <v>46103</v>
      </c>
    </row>
    <row r="224" spans="1:20" ht="24" customHeight="1" thickTop="1" thickBot="1" x14ac:dyDescent="0.45">
      <c r="A224" s="40" t="s">
        <v>2578</v>
      </c>
      <c r="B224" s="3" t="s">
        <v>2579</v>
      </c>
      <c r="C224" s="3">
        <v>475</v>
      </c>
      <c r="D224" s="23">
        <v>33078</v>
      </c>
      <c r="E224" s="3" t="s">
        <v>1</v>
      </c>
      <c r="F224" s="3" t="s">
        <v>1238</v>
      </c>
      <c r="G224" s="3">
        <v>5</v>
      </c>
      <c r="H224" s="3" t="s">
        <v>1764</v>
      </c>
      <c r="K224" s="23" t="s">
        <v>2580</v>
      </c>
      <c r="L224" s="23">
        <v>44547</v>
      </c>
      <c r="M224" s="23">
        <v>44596</v>
      </c>
      <c r="N224" s="23">
        <v>44557</v>
      </c>
      <c r="O224" s="23">
        <v>44574</v>
      </c>
      <c r="P224" s="23">
        <v>44748</v>
      </c>
      <c r="Q224" s="23">
        <v>45011</v>
      </c>
      <c r="R224" s="23">
        <v>45376</v>
      </c>
    </row>
    <row r="225" spans="1:17" ht="24" customHeight="1" thickTop="1" thickBot="1" x14ac:dyDescent="0.45">
      <c r="A225" s="40" t="s">
        <v>39</v>
      </c>
      <c r="B225" s="3" t="s">
        <v>2581</v>
      </c>
      <c r="C225" s="3">
        <v>661</v>
      </c>
      <c r="D225" s="23">
        <v>37343</v>
      </c>
      <c r="E225" s="3" t="s">
        <v>1</v>
      </c>
      <c r="F225" s="3" t="s">
        <v>1239</v>
      </c>
      <c r="G225" s="3">
        <v>6</v>
      </c>
      <c r="H225" s="3" t="s">
        <v>1764</v>
      </c>
      <c r="K225" s="23" t="s">
        <v>2582</v>
      </c>
      <c r="L225" s="23">
        <v>45350</v>
      </c>
      <c r="M225" s="23">
        <v>45358</v>
      </c>
      <c r="N225" s="23">
        <v>45359</v>
      </c>
      <c r="O225" s="23">
        <v>45411</v>
      </c>
      <c r="P225" s="23">
        <v>45523</v>
      </c>
      <c r="Q225" s="23">
        <v>45985</v>
      </c>
    </row>
    <row r="226" spans="1:17" ht="24" customHeight="1" thickTop="1" thickBot="1" x14ac:dyDescent="0.45">
      <c r="A226" s="40" t="s">
        <v>2583</v>
      </c>
      <c r="B226" s="3" t="s">
        <v>2584</v>
      </c>
      <c r="C226" s="3">
        <v>723</v>
      </c>
      <c r="D226" s="23">
        <v>36941</v>
      </c>
      <c r="E226" s="3" t="s">
        <v>1</v>
      </c>
      <c r="F226" s="3" t="s">
        <v>6</v>
      </c>
      <c r="G226" s="3">
        <v>6</v>
      </c>
      <c r="H226" s="3" t="s">
        <v>1764</v>
      </c>
      <c r="K226" s="23" t="s">
        <v>2585</v>
      </c>
      <c r="L226" s="23">
        <v>45575</v>
      </c>
      <c r="M226" s="23">
        <v>45580</v>
      </c>
      <c r="N226" s="23">
        <v>45599</v>
      </c>
      <c r="O226" s="23">
        <v>45650</v>
      </c>
      <c r="P226" s="23">
        <v>45739</v>
      </c>
      <c r="Q226" s="23">
        <v>46053</v>
      </c>
    </row>
    <row r="227" spans="1:17" ht="24" customHeight="1" thickTop="1" thickBot="1" x14ac:dyDescent="0.45">
      <c r="A227" s="40" t="s">
        <v>21</v>
      </c>
      <c r="B227" s="3" t="s">
        <v>2586</v>
      </c>
      <c r="C227" s="3">
        <v>706</v>
      </c>
      <c r="D227" s="23">
        <v>35923</v>
      </c>
      <c r="E227" s="3" t="s">
        <v>1</v>
      </c>
      <c r="F227" s="3" t="s">
        <v>1238</v>
      </c>
      <c r="G227" s="3">
        <v>6</v>
      </c>
      <c r="H227" s="3" t="s">
        <v>1764</v>
      </c>
      <c r="K227" s="23" t="s">
        <v>2587</v>
      </c>
      <c r="L227" s="23">
        <v>45512</v>
      </c>
      <c r="M227" s="23">
        <v>45517</v>
      </c>
      <c r="N227" s="23">
        <v>45523</v>
      </c>
      <c r="O227" s="23">
        <v>45558</v>
      </c>
      <c r="P227" s="23">
        <v>45669</v>
      </c>
      <c r="Q227" s="23">
        <v>46103</v>
      </c>
    </row>
    <row r="228" spans="1:17" ht="24" customHeight="1" thickTop="1" thickBot="1" x14ac:dyDescent="0.45">
      <c r="A228" s="40" t="s">
        <v>16</v>
      </c>
      <c r="B228" s="3" t="s">
        <v>2588</v>
      </c>
      <c r="C228" s="3">
        <v>775</v>
      </c>
      <c r="D228" s="23">
        <v>36904</v>
      </c>
      <c r="E228" s="3" t="s">
        <v>1</v>
      </c>
      <c r="F228" s="3" t="s">
        <v>1238</v>
      </c>
      <c r="G228" s="3">
        <v>7</v>
      </c>
      <c r="H228" s="3" t="s">
        <v>1764</v>
      </c>
      <c r="K228" s="23" t="s">
        <v>2589</v>
      </c>
      <c r="L228" s="23">
        <v>45710</v>
      </c>
      <c r="M228" s="23">
        <v>45882</v>
      </c>
      <c r="N228" s="23">
        <v>45712</v>
      </c>
      <c r="O228" s="23">
        <v>45930</v>
      </c>
      <c r="P228" s="23">
        <v>46237</v>
      </c>
    </row>
    <row r="229" spans="1:17" ht="24" customHeight="1" thickTop="1" thickBot="1" x14ac:dyDescent="0.45">
      <c r="A229" s="40" t="s">
        <v>2590</v>
      </c>
      <c r="B229" s="3" t="s">
        <v>1779</v>
      </c>
      <c r="C229" s="3">
        <v>6485</v>
      </c>
      <c r="D229" s="23">
        <v>37704</v>
      </c>
      <c r="E229" s="3" t="s">
        <v>1</v>
      </c>
      <c r="F229" s="3" t="s">
        <v>1239</v>
      </c>
      <c r="G229" s="3" t="s">
        <v>2140</v>
      </c>
      <c r="H229" s="3" t="s">
        <v>1764</v>
      </c>
      <c r="K229" s="23" t="s">
        <v>2591</v>
      </c>
      <c r="N229" s="23">
        <v>46237</v>
      </c>
    </row>
    <row r="230" spans="1:17" ht="24" customHeight="1" thickTop="1" thickBot="1" x14ac:dyDescent="0.45">
      <c r="A230" s="40" t="s">
        <v>2592</v>
      </c>
      <c r="B230" s="3" t="s">
        <v>2593</v>
      </c>
      <c r="C230" s="3">
        <v>6486</v>
      </c>
      <c r="D230" s="23">
        <v>38499</v>
      </c>
      <c r="E230" s="3" t="s">
        <v>1</v>
      </c>
      <c r="F230" s="3" t="s">
        <v>6</v>
      </c>
      <c r="G230" s="3" t="s">
        <v>2140</v>
      </c>
      <c r="H230" s="3" t="s">
        <v>1764</v>
      </c>
      <c r="K230" s="23" t="s">
        <v>1764</v>
      </c>
      <c r="N230" s="23">
        <v>46263</v>
      </c>
    </row>
    <row r="231" spans="1:17" ht="24" customHeight="1" thickTop="1" thickBot="1" x14ac:dyDescent="0.45">
      <c r="A231" s="40" t="s">
        <v>2594</v>
      </c>
      <c r="B231" s="3" t="s">
        <v>1780</v>
      </c>
      <c r="C231" s="3">
        <v>6489</v>
      </c>
      <c r="D231" s="23">
        <v>37012</v>
      </c>
      <c r="E231" s="3" t="s">
        <v>1</v>
      </c>
      <c r="F231" s="3" t="s">
        <v>1238</v>
      </c>
      <c r="G231" s="3" t="s">
        <v>2140</v>
      </c>
      <c r="H231" s="3" t="s">
        <v>1764</v>
      </c>
      <c r="K231" s="23" t="s">
        <v>1764</v>
      </c>
      <c r="N231" s="23">
        <v>46263</v>
      </c>
    </row>
    <row r="232" spans="1:17" ht="24" customHeight="1" thickTop="1" thickBot="1" x14ac:dyDescent="0.45">
      <c r="A232" s="40" t="s">
        <v>2595</v>
      </c>
      <c r="B232" s="3" t="s">
        <v>2596</v>
      </c>
      <c r="C232" s="3">
        <v>32</v>
      </c>
      <c r="D232" s="23">
        <v>32960</v>
      </c>
      <c r="E232" s="3" t="s">
        <v>43</v>
      </c>
      <c r="F232" s="3" t="s">
        <v>1239</v>
      </c>
      <c r="G232" s="3" t="s">
        <v>1277</v>
      </c>
      <c r="H232" s="3" t="s">
        <v>2</v>
      </c>
    </row>
    <row r="233" spans="1:17" ht="24" customHeight="1" thickTop="1" thickBot="1" x14ac:dyDescent="0.45">
      <c r="A233" s="40" t="s">
        <v>2597</v>
      </c>
      <c r="B233" s="3" t="s">
        <v>2598</v>
      </c>
      <c r="C233" s="3">
        <v>12</v>
      </c>
      <c r="D233" s="23">
        <v>33572</v>
      </c>
      <c r="E233" s="3" t="s">
        <v>43</v>
      </c>
      <c r="F233" s="3" t="s">
        <v>1239</v>
      </c>
      <c r="G233" s="3" t="s">
        <v>1277</v>
      </c>
      <c r="H233" s="3" t="s">
        <v>2</v>
      </c>
    </row>
    <row r="234" spans="1:17" ht="24" customHeight="1" thickTop="1" thickBot="1" x14ac:dyDescent="0.45">
      <c r="A234" s="40" t="s">
        <v>2599</v>
      </c>
      <c r="B234" s="3" t="s">
        <v>2600</v>
      </c>
      <c r="C234" s="3">
        <v>77</v>
      </c>
      <c r="D234" s="23">
        <v>33710</v>
      </c>
      <c r="E234" s="3" t="s">
        <v>43</v>
      </c>
      <c r="F234" s="3" t="s">
        <v>1239</v>
      </c>
      <c r="G234" s="3" t="s">
        <v>1277</v>
      </c>
      <c r="H234" s="3" t="s">
        <v>2</v>
      </c>
    </row>
    <row r="235" spans="1:17" ht="24" customHeight="1" thickTop="1" thickBot="1" x14ac:dyDescent="0.45">
      <c r="A235" s="40" t="s">
        <v>58</v>
      </c>
      <c r="B235" s="3" t="s">
        <v>2601</v>
      </c>
      <c r="C235" s="3">
        <v>13</v>
      </c>
      <c r="D235" s="23">
        <v>33044</v>
      </c>
      <c r="E235" s="3" t="s">
        <v>43</v>
      </c>
      <c r="F235" s="3" t="s">
        <v>6</v>
      </c>
      <c r="G235" s="3" t="s">
        <v>1277</v>
      </c>
      <c r="H235" s="3" t="s">
        <v>2</v>
      </c>
    </row>
    <row r="236" spans="1:17" ht="24" customHeight="1" thickTop="1" thickBot="1" x14ac:dyDescent="0.45">
      <c r="A236" s="40" t="s">
        <v>2602</v>
      </c>
      <c r="B236" s="3" t="s">
        <v>2603</v>
      </c>
      <c r="C236" s="3">
        <v>39</v>
      </c>
      <c r="D236" s="23">
        <v>33268</v>
      </c>
      <c r="E236" s="3" t="s">
        <v>43</v>
      </c>
      <c r="F236" s="3" t="s">
        <v>6</v>
      </c>
      <c r="G236" s="3" t="s">
        <v>1277</v>
      </c>
      <c r="H236" s="3" t="s">
        <v>2</v>
      </c>
    </row>
    <row r="237" spans="1:17" ht="24" customHeight="1" thickTop="1" thickBot="1" x14ac:dyDescent="0.45">
      <c r="A237" s="40" t="s">
        <v>2604</v>
      </c>
      <c r="B237" s="3" t="s">
        <v>2605</v>
      </c>
      <c r="C237" s="3">
        <v>41</v>
      </c>
      <c r="D237" s="23">
        <v>32882</v>
      </c>
      <c r="E237" s="3" t="s">
        <v>43</v>
      </c>
      <c r="F237" s="3" t="s">
        <v>6</v>
      </c>
      <c r="G237" s="3" t="s">
        <v>1277</v>
      </c>
      <c r="H237" s="3" t="s">
        <v>2</v>
      </c>
    </row>
    <row r="238" spans="1:17" ht="24" customHeight="1" thickTop="1" thickBot="1" x14ac:dyDescent="0.45">
      <c r="A238" s="40" t="s">
        <v>2606</v>
      </c>
      <c r="B238" s="3" t="s">
        <v>2607</v>
      </c>
      <c r="C238" s="3">
        <v>35</v>
      </c>
      <c r="D238" s="23">
        <v>32922</v>
      </c>
      <c r="E238" s="3" t="s">
        <v>43</v>
      </c>
      <c r="F238" s="3" t="s">
        <v>6</v>
      </c>
      <c r="G238" s="3" t="s">
        <v>1277</v>
      </c>
      <c r="H238" s="3" t="s">
        <v>2</v>
      </c>
    </row>
    <row r="239" spans="1:17" ht="24" customHeight="1" thickTop="1" thickBot="1" x14ac:dyDescent="0.45">
      <c r="A239" s="40" t="s">
        <v>2608</v>
      </c>
      <c r="B239" s="3" t="s">
        <v>2609</v>
      </c>
      <c r="C239" s="3">
        <v>11</v>
      </c>
      <c r="D239" s="23">
        <v>32932</v>
      </c>
      <c r="E239" s="3" t="s">
        <v>43</v>
      </c>
      <c r="F239" s="3" t="s">
        <v>1239</v>
      </c>
      <c r="G239" s="3" t="s">
        <v>1264</v>
      </c>
      <c r="H239" s="3" t="s">
        <v>2</v>
      </c>
    </row>
    <row r="240" spans="1:17" ht="24" customHeight="1" thickTop="1" thickBot="1" x14ac:dyDescent="0.45">
      <c r="A240" s="40" t="s">
        <v>2610</v>
      </c>
      <c r="B240" s="3" t="s">
        <v>2611</v>
      </c>
      <c r="C240" s="3">
        <v>37</v>
      </c>
      <c r="D240" s="23">
        <v>33790</v>
      </c>
      <c r="E240" s="3" t="s">
        <v>43</v>
      </c>
      <c r="F240" s="3" t="s">
        <v>1239</v>
      </c>
      <c r="G240" s="3" t="s">
        <v>1264</v>
      </c>
      <c r="H240" s="3" t="s">
        <v>2</v>
      </c>
    </row>
    <row r="241" spans="1:8" ht="24" customHeight="1" thickTop="1" thickBot="1" x14ac:dyDescent="0.45">
      <c r="A241" s="40" t="s">
        <v>2612</v>
      </c>
      <c r="B241" s="3" t="s">
        <v>2613</v>
      </c>
      <c r="C241" s="3">
        <v>29</v>
      </c>
      <c r="D241" s="23">
        <v>34921</v>
      </c>
      <c r="E241" s="3" t="s">
        <v>43</v>
      </c>
      <c r="F241" s="3" t="s">
        <v>1239</v>
      </c>
      <c r="G241" s="3" t="s">
        <v>1264</v>
      </c>
      <c r="H241" s="3" t="s">
        <v>2</v>
      </c>
    </row>
    <row r="242" spans="1:8" ht="24" customHeight="1" thickTop="1" thickBot="1" x14ac:dyDescent="0.45">
      <c r="A242" s="40" t="s">
        <v>2614</v>
      </c>
      <c r="B242" s="3" t="s">
        <v>2615</v>
      </c>
      <c r="C242" s="3">
        <v>17</v>
      </c>
      <c r="D242" s="23">
        <v>34358</v>
      </c>
      <c r="E242" s="3" t="s">
        <v>43</v>
      </c>
      <c r="F242" s="3" t="s">
        <v>1239</v>
      </c>
      <c r="G242" s="3" t="s">
        <v>1264</v>
      </c>
      <c r="H242" s="3" t="s">
        <v>2</v>
      </c>
    </row>
    <row r="243" spans="1:8" ht="24" customHeight="1" thickTop="1" thickBot="1" x14ac:dyDescent="0.45">
      <c r="A243" s="40" t="s">
        <v>2616</v>
      </c>
      <c r="B243" s="3" t="s">
        <v>2617</v>
      </c>
      <c r="C243" s="3">
        <v>151</v>
      </c>
      <c r="D243" s="23">
        <v>33709</v>
      </c>
      <c r="E243" s="3" t="s">
        <v>43</v>
      </c>
      <c r="F243" s="3" t="s">
        <v>6</v>
      </c>
      <c r="G243" s="3" t="s">
        <v>1264</v>
      </c>
      <c r="H243" s="3" t="s">
        <v>2</v>
      </c>
    </row>
    <row r="244" spans="1:8" ht="24" customHeight="1" thickTop="1" thickBot="1" x14ac:dyDescent="0.45">
      <c r="A244" s="40" t="s">
        <v>2235</v>
      </c>
      <c r="B244" s="3" t="s">
        <v>1785</v>
      </c>
      <c r="C244" s="3">
        <v>34</v>
      </c>
      <c r="D244" s="23">
        <v>34362</v>
      </c>
      <c r="E244" s="3" t="s">
        <v>43</v>
      </c>
      <c r="F244" s="3" t="s">
        <v>1238</v>
      </c>
      <c r="G244" s="3" t="s">
        <v>1264</v>
      </c>
      <c r="H244" s="3" t="s">
        <v>2</v>
      </c>
    </row>
    <row r="245" spans="1:8" ht="24" customHeight="1" thickTop="1" thickBot="1" x14ac:dyDescent="0.45">
      <c r="A245" s="40" t="s">
        <v>2618</v>
      </c>
      <c r="B245" s="3" t="s">
        <v>2619</v>
      </c>
      <c r="C245" s="3">
        <v>36</v>
      </c>
      <c r="D245" s="23">
        <v>32815</v>
      </c>
      <c r="E245" s="3" t="s">
        <v>43</v>
      </c>
      <c r="F245" s="3" t="s">
        <v>1238</v>
      </c>
      <c r="G245" s="3" t="s">
        <v>1264</v>
      </c>
      <c r="H245" s="3" t="s">
        <v>2</v>
      </c>
    </row>
    <row r="246" spans="1:8" ht="24" customHeight="1" thickTop="1" thickBot="1" x14ac:dyDescent="0.45">
      <c r="A246" s="40" t="s">
        <v>67</v>
      </c>
      <c r="B246" s="3" t="s">
        <v>2620</v>
      </c>
      <c r="C246" s="3">
        <v>16</v>
      </c>
      <c r="D246" s="23">
        <v>32359</v>
      </c>
      <c r="E246" s="3" t="s">
        <v>43</v>
      </c>
      <c r="F246" s="3" t="s">
        <v>1238</v>
      </c>
      <c r="G246" s="3" t="s">
        <v>1264</v>
      </c>
      <c r="H246" s="3" t="s">
        <v>2</v>
      </c>
    </row>
    <row r="247" spans="1:8" ht="24" customHeight="1" thickTop="1" thickBot="1" x14ac:dyDescent="0.45">
      <c r="A247" s="40" t="s">
        <v>61</v>
      </c>
      <c r="B247" s="3" t="s">
        <v>2236</v>
      </c>
      <c r="C247" s="3">
        <v>71</v>
      </c>
      <c r="D247" s="23">
        <v>34004</v>
      </c>
      <c r="E247" s="3" t="s">
        <v>43</v>
      </c>
      <c r="F247" s="3" t="s">
        <v>1239</v>
      </c>
      <c r="G247" s="3" t="s">
        <v>1262</v>
      </c>
      <c r="H247" s="3" t="s">
        <v>2</v>
      </c>
    </row>
    <row r="248" spans="1:8" ht="24" customHeight="1" thickTop="1" thickBot="1" x14ac:dyDescent="0.45">
      <c r="A248" s="40" t="s">
        <v>2621</v>
      </c>
      <c r="B248" s="3" t="s">
        <v>2622</v>
      </c>
      <c r="C248" s="3">
        <v>73</v>
      </c>
      <c r="D248" s="23">
        <v>34047</v>
      </c>
      <c r="E248" s="3" t="s">
        <v>43</v>
      </c>
      <c r="F248" s="3" t="s">
        <v>6</v>
      </c>
      <c r="G248" s="3" t="s">
        <v>1262</v>
      </c>
      <c r="H248" s="3" t="s">
        <v>2</v>
      </c>
    </row>
    <row r="249" spans="1:8" ht="24" customHeight="1" thickTop="1" thickBot="1" x14ac:dyDescent="0.45">
      <c r="A249" s="40" t="s">
        <v>63</v>
      </c>
      <c r="B249" s="3" t="s">
        <v>2623</v>
      </c>
      <c r="C249" s="3">
        <v>18</v>
      </c>
      <c r="D249" s="23">
        <v>32060</v>
      </c>
      <c r="E249" s="3" t="s">
        <v>43</v>
      </c>
      <c r="F249" s="3" t="s">
        <v>6</v>
      </c>
      <c r="G249" s="3" t="s">
        <v>1262</v>
      </c>
      <c r="H249" s="3" t="s">
        <v>2</v>
      </c>
    </row>
    <row r="250" spans="1:8" ht="24" customHeight="1" thickTop="1" thickBot="1" x14ac:dyDescent="0.45">
      <c r="A250" s="40" t="s">
        <v>2241</v>
      </c>
      <c r="B250" s="3" t="s">
        <v>2242</v>
      </c>
      <c r="C250" s="3">
        <v>64</v>
      </c>
      <c r="D250" s="23">
        <v>33217</v>
      </c>
      <c r="E250" s="3" t="s">
        <v>43</v>
      </c>
      <c r="F250" s="3" t="s">
        <v>1238</v>
      </c>
      <c r="G250" s="3" t="s">
        <v>1262</v>
      </c>
      <c r="H250" s="3" t="s">
        <v>2</v>
      </c>
    </row>
    <row r="251" spans="1:8" ht="24" customHeight="1" thickTop="1" thickBot="1" x14ac:dyDescent="0.45">
      <c r="A251" s="40" t="s">
        <v>54</v>
      </c>
      <c r="B251" s="3" t="s">
        <v>2624</v>
      </c>
      <c r="C251" s="3">
        <v>46</v>
      </c>
      <c r="D251" s="23">
        <v>33618</v>
      </c>
      <c r="E251" s="3" t="s">
        <v>43</v>
      </c>
      <c r="F251" s="3" t="s">
        <v>1238</v>
      </c>
      <c r="G251" s="3" t="s">
        <v>1262</v>
      </c>
      <c r="H251" s="3" t="s">
        <v>2</v>
      </c>
    </row>
    <row r="252" spans="1:8" ht="24" customHeight="1" thickTop="1" thickBot="1" x14ac:dyDescent="0.45">
      <c r="A252" s="40" t="s">
        <v>2625</v>
      </c>
      <c r="B252" s="3" t="s">
        <v>2626</v>
      </c>
      <c r="C252" s="3">
        <v>62</v>
      </c>
      <c r="D252" s="23">
        <v>33115</v>
      </c>
      <c r="E252" s="3" t="s">
        <v>43</v>
      </c>
      <c r="F252" s="3" t="s">
        <v>1238</v>
      </c>
      <c r="G252" s="3" t="s">
        <v>1262</v>
      </c>
      <c r="H252" s="3" t="s">
        <v>2</v>
      </c>
    </row>
    <row r="253" spans="1:8" ht="24" customHeight="1" thickTop="1" thickBot="1" x14ac:dyDescent="0.45">
      <c r="A253" s="40" t="s">
        <v>2627</v>
      </c>
      <c r="B253" s="3" t="s">
        <v>2628</v>
      </c>
      <c r="C253" s="3">
        <v>6481</v>
      </c>
      <c r="D253" s="23">
        <v>34743</v>
      </c>
      <c r="E253" s="3" t="s">
        <v>43</v>
      </c>
      <c r="F253" s="3" t="s">
        <v>1238</v>
      </c>
      <c r="G253" s="3" t="s">
        <v>1262</v>
      </c>
      <c r="H253" s="3" t="s">
        <v>2</v>
      </c>
    </row>
    <row r="254" spans="1:8" ht="24" customHeight="1" thickTop="1" thickBot="1" x14ac:dyDescent="0.45">
      <c r="A254" s="40" t="s">
        <v>2629</v>
      </c>
      <c r="B254" s="3" t="s">
        <v>2630</v>
      </c>
      <c r="C254" s="3">
        <v>83</v>
      </c>
      <c r="D254" s="23">
        <v>33742</v>
      </c>
      <c r="E254" s="3" t="s">
        <v>43</v>
      </c>
      <c r="F254" s="3" t="s">
        <v>1238</v>
      </c>
      <c r="G254" s="3" t="s">
        <v>1262</v>
      </c>
      <c r="H254" s="3" t="s">
        <v>2</v>
      </c>
    </row>
    <row r="255" spans="1:8" ht="24" customHeight="1" thickTop="1" thickBot="1" x14ac:dyDescent="0.45">
      <c r="A255" s="40" t="s">
        <v>2631</v>
      </c>
      <c r="B255" s="3" t="s">
        <v>2632</v>
      </c>
      <c r="C255" s="3">
        <v>81</v>
      </c>
      <c r="D255" s="23">
        <v>33680</v>
      </c>
      <c r="E255" s="3" t="s">
        <v>43</v>
      </c>
      <c r="F255" s="3" t="s">
        <v>1239</v>
      </c>
      <c r="G255" s="3" t="s">
        <v>1261</v>
      </c>
      <c r="H255" s="3" t="s">
        <v>2</v>
      </c>
    </row>
    <row r="256" spans="1:8" ht="24" customHeight="1" thickTop="1" thickBot="1" x14ac:dyDescent="0.45">
      <c r="A256" s="40" t="s">
        <v>2633</v>
      </c>
      <c r="B256" s="3" t="s">
        <v>2634</v>
      </c>
      <c r="C256" s="3">
        <v>58</v>
      </c>
      <c r="D256" s="23">
        <v>29197</v>
      </c>
      <c r="E256" s="3" t="s">
        <v>43</v>
      </c>
      <c r="F256" s="3" t="s">
        <v>6</v>
      </c>
      <c r="G256" s="3" t="s">
        <v>1261</v>
      </c>
      <c r="H256" s="3" t="s">
        <v>2</v>
      </c>
    </row>
    <row r="257" spans="1:8" ht="24" customHeight="1" thickTop="1" thickBot="1" x14ac:dyDescent="0.45">
      <c r="A257" s="40" t="s">
        <v>2635</v>
      </c>
      <c r="B257" s="3" t="s">
        <v>2636</v>
      </c>
      <c r="C257" s="3">
        <v>146</v>
      </c>
      <c r="D257" s="23">
        <v>34727</v>
      </c>
      <c r="E257" s="3" t="s">
        <v>43</v>
      </c>
      <c r="F257" s="3" t="s">
        <v>6</v>
      </c>
      <c r="G257" s="3" t="s">
        <v>1261</v>
      </c>
      <c r="H257" s="3" t="s">
        <v>2</v>
      </c>
    </row>
    <row r="258" spans="1:8" ht="24" customHeight="1" thickTop="1" thickBot="1" x14ac:dyDescent="0.45">
      <c r="A258" s="40" t="s">
        <v>2637</v>
      </c>
      <c r="B258" s="3" t="s">
        <v>2638</v>
      </c>
      <c r="C258" s="3">
        <v>138</v>
      </c>
      <c r="D258" s="23">
        <v>35310</v>
      </c>
      <c r="E258" s="3" t="s">
        <v>43</v>
      </c>
      <c r="F258" s="3" t="s">
        <v>6</v>
      </c>
      <c r="G258" s="3" t="s">
        <v>1261</v>
      </c>
      <c r="H258" s="3" t="s">
        <v>2</v>
      </c>
    </row>
    <row r="259" spans="1:8" ht="24" customHeight="1" thickTop="1" thickBot="1" x14ac:dyDescent="0.45">
      <c r="A259" s="40" t="s">
        <v>2639</v>
      </c>
      <c r="B259" s="3" t="s">
        <v>1466</v>
      </c>
      <c r="C259" s="3">
        <v>6482</v>
      </c>
      <c r="D259" s="23">
        <v>34645</v>
      </c>
      <c r="E259" s="3" t="s">
        <v>43</v>
      </c>
      <c r="F259" s="3" t="s">
        <v>6</v>
      </c>
      <c r="G259" s="3" t="s">
        <v>1261</v>
      </c>
      <c r="H259" s="3" t="s">
        <v>2</v>
      </c>
    </row>
    <row r="260" spans="1:8" ht="24" customHeight="1" thickTop="1" thickBot="1" x14ac:dyDescent="0.45">
      <c r="A260" s="40" t="s">
        <v>2640</v>
      </c>
      <c r="B260" s="3" t="s">
        <v>2641</v>
      </c>
      <c r="C260" s="3">
        <v>98</v>
      </c>
      <c r="D260" s="23">
        <v>32500</v>
      </c>
      <c r="E260" s="3" t="s">
        <v>43</v>
      </c>
      <c r="F260" s="3" t="s">
        <v>1238</v>
      </c>
      <c r="G260" s="3" t="s">
        <v>1261</v>
      </c>
      <c r="H260" s="3" t="s">
        <v>2</v>
      </c>
    </row>
    <row r="261" spans="1:8" ht="24" customHeight="1" thickTop="1" thickBot="1" x14ac:dyDescent="0.45">
      <c r="A261" s="40" t="s">
        <v>2642</v>
      </c>
      <c r="B261" s="3" t="s">
        <v>2643</v>
      </c>
      <c r="C261" s="3">
        <v>149</v>
      </c>
      <c r="D261" s="23">
        <v>34347</v>
      </c>
      <c r="E261" s="3" t="s">
        <v>43</v>
      </c>
      <c r="F261" s="3" t="s">
        <v>1238</v>
      </c>
      <c r="G261" s="3" t="s">
        <v>1261</v>
      </c>
      <c r="H261" s="3" t="s">
        <v>2</v>
      </c>
    </row>
    <row r="262" spans="1:8" ht="24" customHeight="1" thickTop="1" thickBot="1" x14ac:dyDescent="0.45">
      <c r="A262" s="40" t="s">
        <v>2644</v>
      </c>
      <c r="B262" s="3" t="s">
        <v>2645</v>
      </c>
      <c r="C262" s="3">
        <v>173</v>
      </c>
      <c r="D262" s="23">
        <v>32637</v>
      </c>
      <c r="E262" s="3" t="s">
        <v>43</v>
      </c>
      <c r="F262" s="3" t="s">
        <v>1238</v>
      </c>
      <c r="G262" s="3" t="s">
        <v>1261</v>
      </c>
      <c r="H262" s="3" t="s">
        <v>2</v>
      </c>
    </row>
    <row r="263" spans="1:8" ht="24" customHeight="1" thickTop="1" thickBot="1" x14ac:dyDescent="0.45">
      <c r="A263" s="40" t="s">
        <v>2646</v>
      </c>
      <c r="B263" s="3" t="s">
        <v>2647</v>
      </c>
      <c r="C263" s="3">
        <v>127</v>
      </c>
      <c r="D263" s="23">
        <v>34688</v>
      </c>
      <c r="E263" s="3" t="s">
        <v>43</v>
      </c>
      <c r="F263" s="3" t="s">
        <v>1238</v>
      </c>
      <c r="G263" s="3" t="s">
        <v>1261</v>
      </c>
      <c r="H263" s="3" t="s">
        <v>2</v>
      </c>
    </row>
    <row r="264" spans="1:8" ht="24" customHeight="1" thickTop="1" thickBot="1" x14ac:dyDescent="0.45">
      <c r="A264" s="40" t="s">
        <v>2648</v>
      </c>
      <c r="B264" s="3" t="s">
        <v>2649</v>
      </c>
      <c r="C264" s="3">
        <v>86</v>
      </c>
      <c r="D264" s="23">
        <v>31444</v>
      </c>
      <c r="E264" s="3" t="s">
        <v>43</v>
      </c>
      <c r="F264" s="3" t="s">
        <v>1238</v>
      </c>
      <c r="G264" s="3" t="s">
        <v>1261</v>
      </c>
      <c r="H264" s="3" t="s">
        <v>2</v>
      </c>
    </row>
    <row r="265" spans="1:8" ht="24" customHeight="1" thickTop="1" thickBot="1" x14ac:dyDescent="0.45">
      <c r="A265" s="40" t="s">
        <v>2650</v>
      </c>
      <c r="B265" s="3" t="s">
        <v>2651</v>
      </c>
      <c r="C265" s="3">
        <v>117</v>
      </c>
      <c r="D265" s="23">
        <v>32898</v>
      </c>
      <c r="E265" s="3" t="s">
        <v>43</v>
      </c>
      <c r="F265" s="3" t="s">
        <v>1238</v>
      </c>
      <c r="G265" s="3" t="s">
        <v>1261</v>
      </c>
      <c r="H265" s="3" t="s">
        <v>2</v>
      </c>
    </row>
    <row r="266" spans="1:8" ht="24" customHeight="1" thickTop="1" thickBot="1" x14ac:dyDescent="0.45">
      <c r="A266" s="40" t="s">
        <v>2652</v>
      </c>
      <c r="B266" s="3" t="s">
        <v>2653</v>
      </c>
      <c r="C266" s="3">
        <v>85</v>
      </c>
      <c r="D266" s="23">
        <v>31061</v>
      </c>
      <c r="E266" s="3" t="s">
        <v>43</v>
      </c>
      <c r="F266" s="3" t="s">
        <v>1238</v>
      </c>
      <c r="G266" s="3" t="s">
        <v>1261</v>
      </c>
      <c r="H266" s="3" t="s">
        <v>2</v>
      </c>
    </row>
    <row r="267" spans="1:8" ht="24" customHeight="1" thickTop="1" thickBot="1" x14ac:dyDescent="0.45">
      <c r="A267" s="40" t="s">
        <v>2654</v>
      </c>
      <c r="B267" s="3" t="s">
        <v>2655</v>
      </c>
      <c r="C267" s="3">
        <v>109</v>
      </c>
      <c r="D267" s="23">
        <v>32974</v>
      </c>
      <c r="E267" s="3" t="s">
        <v>43</v>
      </c>
      <c r="F267" s="3" t="s">
        <v>1239</v>
      </c>
      <c r="G267" s="3" t="s">
        <v>1248</v>
      </c>
      <c r="H267" s="3" t="s">
        <v>2</v>
      </c>
    </row>
    <row r="268" spans="1:8" ht="24" customHeight="1" thickTop="1" thickBot="1" x14ac:dyDescent="0.45">
      <c r="A268" s="40" t="s">
        <v>2656</v>
      </c>
      <c r="B268" s="3" t="s">
        <v>2657</v>
      </c>
      <c r="C268" s="3">
        <v>132</v>
      </c>
      <c r="D268" s="23">
        <v>30720</v>
      </c>
      <c r="E268" s="3" t="s">
        <v>43</v>
      </c>
      <c r="F268" s="3" t="s">
        <v>1239</v>
      </c>
      <c r="G268" s="3" t="s">
        <v>1248</v>
      </c>
      <c r="H268" s="3" t="s">
        <v>2</v>
      </c>
    </row>
    <row r="269" spans="1:8" ht="24" customHeight="1" thickTop="1" thickBot="1" x14ac:dyDescent="0.45">
      <c r="A269" s="40" t="s">
        <v>2658</v>
      </c>
      <c r="B269" s="3" t="s">
        <v>2659</v>
      </c>
      <c r="C269" s="3">
        <v>60</v>
      </c>
      <c r="D269" s="23">
        <v>31040</v>
      </c>
      <c r="E269" s="3" t="s">
        <v>43</v>
      </c>
      <c r="F269" s="3" t="s">
        <v>6</v>
      </c>
      <c r="G269" s="3" t="s">
        <v>1248</v>
      </c>
      <c r="H269" s="3" t="s">
        <v>2</v>
      </c>
    </row>
    <row r="270" spans="1:8" ht="24" customHeight="1" thickTop="1" thickBot="1" x14ac:dyDescent="0.45">
      <c r="A270" s="40" t="s">
        <v>2660</v>
      </c>
      <c r="B270" s="3" t="s">
        <v>2661</v>
      </c>
      <c r="C270" s="3">
        <v>182</v>
      </c>
      <c r="D270" s="23">
        <v>33940</v>
      </c>
      <c r="E270" s="3" t="s">
        <v>43</v>
      </c>
      <c r="F270" s="3" t="s">
        <v>6</v>
      </c>
      <c r="G270" s="3" t="s">
        <v>1248</v>
      </c>
      <c r="H270" s="3" t="s">
        <v>2</v>
      </c>
    </row>
    <row r="271" spans="1:8" ht="24" customHeight="1" thickTop="1" thickBot="1" x14ac:dyDescent="0.45">
      <c r="A271" s="40" t="s">
        <v>2662</v>
      </c>
      <c r="B271" s="3" t="s">
        <v>2663</v>
      </c>
      <c r="C271" s="3">
        <v>124</v>
      </c>
      <c r="D271" s="23">
        <v>30025</v>
      </c>
      <c r="E271" s="3" t="s">
        <v>43</v>
      </c>
      <c r="F271" s="3" t="s">
        <v>1238</v>
      </c>
      <c r="G271" s="3" t="s">
        <v>1248</v>
      </c>
      <c r="H271" s="3" t="s">
        <v>2</v>
      </c>
    </row>
    <row r="272" spans="1:8" ht="24" customHeight="1" thickTop="1" thickBot="1" x14ac:dyDescent="0.45">
      <c r="A272" s="40" t="s">
        <v>2664</v>
      </c>
      <c r="B272" s="3" t="s">
        <v>2665</v>
      </c>
      <c r="C272" s="3">
        <v>6385</v>
      </c>
      <c r="D272" s="23">
        <v>33800</v>
      </c>
      <c r="E272" s="3" t="s">
        <v>43</v>
      </c>
      <c r="F272" s="3" t="s">
        <v>1238</v>
      </c>
      <c r="G272" s="3" t="s">
        <v>1248</v>
      </c>
      <c r="H272" s="3" t="s">
        <v>2</v>
      </c>
    </row>
    <row r="273" spans="1:22" ht="24" customHeight="1" thickTop="1" thickBot="1" x14ac:dyDescent="0.45">
      <c r="A273" s="40" t="s">
        <v>2666</v>
      </c>
      <c r="B273" s="3" t="s">
        <v>2667</v>
      </c>
      <c r="C273" s="3">
        <v>174</v>
      </c>
      <c r="D273" s="23">
        <v>30720</v>
      </c>
      <c r="E273" s="3" t="s">
        <v>43</v>
      </c>
      <c r="F273" s="3" t="s">
        <v>1238</v>
      </c>
      <c r="G273" s="3" t="s">
        <v>1248</v>
      </c>
      <c r="H273" s="3" t="s">
        <v>2</v>
      </c>
    </row>
    <row r="274" spans="1:22" ht="24" customHeight="1" thickTop="1" thickBot="1" x14ac:dyDescent="0.45">
      <c r="A274" s="40" t="s">
        <v>2668</v>
      </c>
      <c r="B274" s="3" t="s">
        <v>2669</v>
      </c>
      <c r="C274" s="3">
        <v>170</v>
      </c>
      <c r="D274" s="23">
        <v>35021</v>
      </c>
      <c r="E274" s="3" t="s">
        <v>43</v>
      </c>
      <c r="F274" s="3" t="s">
        <v>1238</v>
      </c>
      <c r="G274" s="3" t="s">
        <v>1248</v>
      </c>
      <c r="H274" s="3" t="s">
        <v>2</v>
      </c>
    </row>
    <row r="275" spans="1:22" ht="24" customHeight="1" thickTop="1" thickBot="1" x14ac:dyDescent="0.45">
      <c r="A275" s="40" t="s">
        <v>2670</v>
      </c>
      <c r="B275" s="3" t="s">
        <v>2671</v>
      </c>
      <c r="C275" s="3">
        <v>175</v>
      </c>
      <c r="D275" s="23">
        <v>31015</v>
      </c>
      <c r="E275" s="3" t="s">
        <v>43</v>
      </c>
      <c r="F275" s="3" t="s">
        <v>1238</v>
      </c>
      <c r="G275" s="3" t="s">
        <v>1248</v>
      </c>
      <c r="H275" s="3" t="s">
        <v>2</v>
      </c>
    </row>
    <row r="276" spans="1:22" ht="24" customHeight="1" thickTop="1" thickBot="1" x14ac:dyDescent="0.45">
      <c r="A276" s="40" t="s">
        <v>2672</v>
      </c>
      <c r="B276" s="3" t="s">
        <v>2673</v>
      </c>
      <c r="C276" s="3">
        <v>186</v>
      </c>
      <c r="D276" s="23">
        <v>33791</v>
      </c>
      <c r="E276" s="3" t="s">
        <v>43</v>
      </c>
      <c r="F276" s="3" t="s">
        <v>1238</v>
      </c>
      <c r="G276" s="3" t="s">
        <v>1248</v>
      </c>
      <c r="H276" s="3" t="s">
        <v>2</v>
      </c>
    </row>
    <row r="277" spans="1:22" ht="24" customHeight="1" thickTop="1" thickBot="1" x14ac:dyDescent="0.45">
      <c r="A277" s="40" t="s">
        <v>2674</v>
      </c>
      <c r="B277" s="3" t="s">
        <v>2675</v>
      </c>
      <c r="C277" s="3">
        <v>104</v>
      </c>
      <c r="D277" s="23">
        <v>34683</v>
      </c>
      <c r="E277" s="3" t="s">
        <v>43</v>
      </c>
      <c r="F277" s="3" t="s">
        <v>1238</v>
      </c>
      <c r="G277" s="3" t="s">
        <v>1248</v>
      </c>
      <c r="H277" s="3" t="s">
        <v>2</v>
      </c>
    </row>
    <row r="278" spans="1:22" ht="24" customHeight="1" thickTop="1" thickBot="1" x14ac:dyDescent="0.45">
      <c r="A278" s="40" t="s">
        <v>2676</v>
      </c>
      <c r="B278" s="3" t="s">
        <v>2677</v>
      </c>
      <c r="C278" s="3">
        <v>6088</v>
      </c>
      <c r="D278" s="23">
        <v>34193</v>
      </c>
      <c r="E278" s="3" t="s">
        <v>43</v>
      </c>
      <c r="F278" s="3" t="s">
        <v>6</v>
      </c>
      <c r="G278" s="3">
        <v>0</v>
      </c>
      <c r="H278" s="3" t="s">
        <v>2</v>
      </c>
    </row>
    <row r="279" spans="1:22" ht="24" customHeight="1" thickTop="1" thickBot="1" x14ac:dyDescent="0.45">
      <c r="A279" s="40" t="s">
        <v>2678</v>
      </c>
      <c r="B279" s="3" t="s">
        <v>2679</v>
      </c>
      <c r="C279" s="3">
        <v>6290</v>
      </c>
      <c r="D279" s="23">
        <v>32037</v>
      </c>
      <c r="E279" s="3" t="s">
        <v>43</v>
      </c>
      <c r="F279" s="3" t="s">
        <v>1238</v>
      </c>
      <c r="G279" s="3">
        <v>0</v>
      </c>
      <c r="H279" s="3" t="s">
        <v>2</v>
      </c>
    </row>
    <row r="280" spans="1:22" ht="24" customHeight="1" thickTop="1" thickBot="1" x14ac:dyDescent="0.45">
      <c r="A280" s="40" t="s">
        <v>2680</v>
      </c>
      <c r="B280" s="3" t="s">
        <v>2681</v>
      </c>
      <c r="C280" s="3">
        <v>6134</v>
      </c>
      <c r="D280" s="23">
        <v>34512</v>
      </c>
      <c r="E280" s="3" t="s">
        <v>43</v>
      </c>
      <c r="F280" s="3" t="s">
        <v>1238</v>
      </c>
      <c r="G280" s="3">
        <v>0</v>
      </c>
      <c r="H280" s="3" t="s">
        <v>2</v>
      </c>
    </row>
    <row r="281" spans="1:22" ht="24" customHeight="1" thickTop="1" thickBot="1" x14ac:dyDescent="0.45">
      <c r="A281" s="40" t="s">
        <v>2682</v>
      </c>
      <c r="B281" s="3" t="s">
        <v>2683</v>
      </c>
      <c r="C281" s="3">
        <v>101</v>
      </c>
      <c r="D281" s="23">
        <v>34166</v>
      </c>
      <c r="E281" s="3" t="s">
        <v>43</v>
      </c>
      <c r="F281" s="3" t="s">
        <v>1238</v>
      </c>
      <c r="G281" s="3">
        <v>0</v>
      </c>
      <c r="H281" s="3" t="s">
        <v>2</v>
      </c>
    </row>
    <row r="282" spans="1:22" ht="24" customHeight="1" thickTop="1" thickBot="1" x14ac:dyDescent="0.45">
      <c r="A282" s="40" t="s">
        <v>2684</v>
      </c>
      <c r="B282" s="3" t="s">
        <v>2685</v>
      </c>
      <c r="C282" s="3">
        <v>6193</v>
      </c>
      <c r="D282" s="23">
        <v>31743</v>
      </c>
      <c r="E282" s="3" t="s">
        <v>43</v>
      </c>
      <c r="F282" s="3" t="s">
        <v>1239</v>
      </c>
      <c r="G282" s="3">
        <v>1</v>
      </c>
      <c r="H282" s="3" t="s">
        <v>2</v>
      </c>
    </row>
    <row r="283" spans="1:22" ht="24" customHeight="1" thickTop="1" thickBot="1" x14ac:dyDescent="0.45">
      <c r="A283" s="40" t="s">
        <v>2686</v>
      </c>
      <c r="B283" s="3" t="s">
        <v>2687</v>
      </c>
      <c r="C283" s="3">
        <v>6210</v>
      </c>
      <c r="D283" s="23">
        <v>33179</v>
      </c>
      <c r="E283" s="3" t="s">
        <v>43</v>
      </c>
      <c r="F283" s="3" t="s">
        <v>1239</v>
      </c>
      <c r="G283" s="3">
        <v>1</v>
      </c>
      <c r="H283" s="3" t="s">
        <v>2</v>
      </c>
    </row>
    <row r="284" spans="1:22" ht="24" customHeight="1" thickTop="1" thickBot="1" x14ac:dyDescent="0.45">
      <c r="A284" s="40" t="s">
        <v>2688</v>
      </c>
      <c r="B284" s="3" t="s">
        <v>2689</v>
      </c>
      <c r="C284" s="3">
        <v>6462</v>
      </c>
      <c r="D284" s="23">
        <v>30567</v>
      </c>
      <c r="E284" s="3" t="s">
        <v>43</v>
      </c>
      <c r="F284" s="3" t="s">
        <v>1239</v>
      </c>
      <c r="G284" s="3">
        <v>1</v>
      </c>
      <c r="H284" s="3" t="s">
        <v>2</v>
      </c>
    </row>
    <row r="285" spans="1:22" ht="24" customHeight="1" thickTop="1" thickBot="1" x14ac:dyDescent="0.45">
      <c r="A285" s="40" t="s">
        <v>2806</v>
      </c>
      <c r="B285" s="3" t="s">
        <v>2807</v>
      </c>
      <c r="C285" s="3">
        <v>6181</v>
      </c>
      <c r="D285" s="23">
        <v>32456</v>
      </c>
      <c r="E285" s="3" t="s">
        <v>43</v>
      </c>
      <c r="F285" s="3" t="s">
        <v>1239</v>
      </c>
      <c r="G285" s="3">
        <v>1</v>
      </c>
      <c r="H285" s="3" t="s">
        <v>2</v>
      </c>
      <c r="L285" s="23">
        <v>44593</v>
      </c>
      <c r="N285" s="23">
        <v>44593</v>
      </c>
    </row>
    <row r="286" spans="1:22" ht="24" customHeight="1" thickTop="1" thickBot="1" x14ac:dyDescent="0.45">
      <c r="A286" s="40" t="s">
        <v>2690</v>
      </c>
      <c r="B286" s="3" t="s">
        <v>1276</v>
      </c>
      <c r="C286" s="3">
        <v>6286</v>
      </c>
      <c r="D286" s="23">
        <v>32269</v>
      </c>
      <c r="E286" s="3" t="s">
        <v>43</v>
      </c>
      <c r="F286" s="3" t="s">
        <v>1238</v>
      </c>
      <c r="G286" s="3">
        <v>1</v>
      </c>
      <c r="H286" s="3" t="s">
        <v>2</v>
      </c>
      <c r="V286" s="23">
        <v>45985</v>
      </c>
    </row>
    <row r="287" spans="1:22" ht="24" customHeight="1" thickTop="1" thickBot="1" x14ac:dyDescent="0.45">
      <c r="A287" s="40" t="s">
        <v>2691</v>
      </c>
      <c r="B287" s="3" t="s">
        <v>2692</v>
      </c>
      <c r="C287" s="3">
        <v>6172</v>
      </c>
      <c r="D287" s="23">
        <v>34180</v>
      </c>
      <c r="E287" s="3" t="s">
        <v>1</v>
      </c>
      <c r="F287" s="3" t="s">
        <v>6</v>
      </c>
      <c r="G287" s="3">
        <v>0</v>
      </c>
      <c r="H287" s="3" t="s">
        <v>2</v>
      </c>
      <c r="K287" s="23" t="s">
        <v>1226</v>
      </c>
    </row>
    <row r="288" spans="1:22" ht="24" customHeight="1" thickTop="1" thickBot="1" x14ac:dyDescent="0.45">
      <c r="A288" s="40" t="s">
        <v>2693</v>
      </c>
      <c r="B288" s="3" t="s">
        <v>2694</v>
      </c>
      <c r="C288" s="3">
        <v>233</v>
      </c>
      <c r="D288" s="23">
        <v>33975</v>
      </c>
      <c r="E288" s="3" t="s">
        <v>1</v>
      </c>
      <c r="F288" s="3" t="s">
        <v>1239</v>
      </c>
      <c r="G288" s="3">
        <v>2</v>
      </c>
      <c r="H288" s="3" t="s">
        <v>2</v>
      </c>
      <c r="K288" s="43" t="s">
        <v>2695</v>
      </c>
      <c r="L288" s="61"/>
      <c r="M288" s="23">
        <v>43370</v>
      </c>
      <c r="N288" s="23">
        <v>44387</v>
      </c>
    </row>
    <row r="289" spans="1:21" ht="24" customHeight="1" thickTop="1" thickBot="1" x14ac:dyDescent="0.45">
      <c r="A289" s="40" t="s">
        <v>2696</v>
      </c>
      <c r="B289" s="3" t="s">
        <v>2697</v>
      </c>
      <c r="C289" s="3">
        <v>371</v>
      </c>
      <c r="D289" s="23">
        <v>36175</v>
      </c>
      <c r="E289" s="3" t="s">
        <v>1</v>
      </c>
      <c r="F289" s="3" t="s">
        <v>6</v>
      </c>
      <c r="G289" s="3">
        <v>2</v>
      </c>
      <c r="H289" s="3" t="s">
        <v>2</v>
      </c>
      <c r="K289" s="43" t="s">
        <v>974</v>
      </c>
      <c r="L289" s="61">
        <v>44338</v>
      </c>
      <c r="M289" s="23">
        <v>44341</v>
      </c>
      <c r="N289" s="23">
        <v>44387</v>
      </c>
      <c r="O289" s="23">
        <v>44387</v>
      </c>
      <c r="P289" s="23" t="s">
        <v>2698</v>
      </c>
      <c r="Q289" s="23" t="s">
        <v>2699</v>
      </c>
      <c r="R289" s="23">
        <v>44516</v>
      </c>
      <c r="S289" s="23">
        <v>44884</v>
      </c>
      <c r="T289" s="23">
        <v>45258</v>
      </c>
      <c r="U289" s="23">
        <v>45985</v>
      </c>
    </row>
    <row r="290" spans="1:21" ht="24" customHeight="1" thickTop="1" thickBot="1" x14ac:dyDescent="0.45">
      <c r="A290" s="40" t="s">
        <v>2700</v>
      </c>
      <c r="B290" s="3" t="s">
        <v>2701</v>
      </c>
      <c r="C290" s="3">
        <v>412</v>
      </c>
      <c r="D290" s="23">
        <v>35572</v>
      </c>
      <c r="E290" s="3" t="s">
        <v>1</v>
      </c>
      <c r="F290" s="3" t="s">
        <v>6</v>
      </c>
      <c r="G290" s="3">
        <v>3</v>
      </c>
      <c r="H290" s="3" t="s">
        <v>2</v>
      </c>
      <c r="K290" s="23" t="s">
        <v>1388</v>
      </c>
      <c r="L290" s="23">
        <v>44421</v>
      </c>
      <c r="M290" s="23">
        <v>44426</v>
      </c>
      <c r="N290" s="23">
        <v>44424</v>
      </c>
      <c r="P290" s="23">
        <v>44500</v>
      </c>
      <c r="Q290" s="23">
        <v>44534</v>
      </c>
      <c r="R290" s="23">
        <v>44728</v>
      </c>
      <c r="S290" s="23">
        <v>45103</v>
      </c>
      <c r="T290" s="23">
        <v>45650</v>
      </c>
    </row>
    <row r="291" spans="1:21" ht="24" customHeight="1" thickTop="1" thickBot="1" x14ac:dyDescent="0.45">
      <c r="A291" s="40" t="s">
        <v>2702</v>
      </c>
      <c r="B291" s="3" t="s">
        <v>2703</v>
      </c>
      <c r="C291" s="3">
        <v>230</v>
      </c>
      <c r="D291" s="23">
        <v>31227</v>
      </c>
      <c r="E291" s="3" t="s">
        <v>1</v>
      </c>
      <c r="F291" s="3" t="s">
        <v>1238</v>
      </c>
      <c r="G291" s="3">
        <v>3</v>
      </c>
      <c r="H291" s="3" t="s">
        <v>2</v>
      </c>
      <c r="M291" s="23">
        <v>43364</v>
      </c>
      <c r="N291" s="23">
        <v>44387</v>
      </c>
    </row>
    <row r="292" spans="1:21" ht="24" customHeight="1" thickTop="1" thickBot="1" x14ac:dyDescent="0.45">
      <c r="A292" s="40" t="s">
        <v>22</v>
      </c>
      <c r="B292" s="3" t="s">
        <v>2704</v>
      </c>
      <c r="C292" s="3">
        <v>386</v>
      </c>
      <c r="D292" s="23">
        <v>36350</v>
      </c>
      <c r="E292" s="3" t="s">
        <v>1</v>
      </c>
      <c r="F292" s="3" t="s">
        <v>1238</v>
      </c>
      <c r="G292" s="3">
        <v>3</v>
      </c>
      <c r="H292" s="3" t="s">
        <v>2</v>
      </c>
      <c r="K292" s="23" t="s">
        <v>2705</v>
      </c>
      <c r="M292" s="23">
        <v>44367</v>
      </c>
      <c r="N292" s="23">
        <v>44387</v>
      </c>
    </row>
    <row r="293" spans="1:21" ht="24" customHeight="1" thickTop="1" thickBot="1" x14ac:dyDescent="0.45">
      <c r="A293" s="40" t="s">
        <v>2706</v>
      </c>
      <c r="B293" s="3" t="s">
        <v>2707</v>
      </c>
      <c r="C293" s="3">
        <v>380</v>
      </c>
      <c r="D293" s="23">
        <v>35433</v>
      </c>
      <c r="E293" s="3" t="s">
        <v>1</v>
      </c>
      <c r="F293" s="3" t="s">
        <v>1239</v>
      </c>
      <c r="G293" s="3">
        <v>4</v>
      </c>
      <c r="H293" s="3" t="s">
        <v>2</v>
      </c>
      <c r="K293" s="43" t="s">
        <v>1095</v>
      </c>
      <c r="L293" s="61">
        <v>44344</v>
      </c>
      <c r="M293" s="23">
        <v>44365</v>
      </c>
      <c r="N293" s="23">
        <v>44387</v>
      </c>
      <c r="O293" s="23">
        <v>44387</v>
      </c>
      <c r="P293" s="23">
        <v>44416</v>
      </c>
      <c r="Q293" s="23">
        <v>44474</v>
      </c>
      <c r="R293" s="23">
        <v>44543</v>
      </c>
      <c r="S293" s="23">
        <v>45650</v>
      </c>
    </row>
    <row r="294" spans="1:21" ht="24" customHeight="1" thickTop="1" thickBot="1" x14ac:dyDescent="0.45">
      <c r="A294" s="40" t="s">
        <v>2252</v>
      </c>
      <c r="B294" s="3" t="s">
        <v>1724</v>
      </c>
      <c r="C294" s="3">
        <v>574</v>
      </c>
      <c r="D294" s="23">
        <v>35564</v>
      </c>
      <c r="E294" s="3" t="s">
        <v>1</v>
      </c>
      <c r="F294" s="3" t="s">
        <v>6</v>
      </c>
      <c r="G294" s="3">
        <v>4</v>
      </c>
      <c r="H294" s="3" t="s">
        <v>2</v>
      </c>
      <c r="K294" s="23" t="s">
        <v>2253</v>
      </c>
      <c r="L294" s="23">
        <v>44954</v>
      </c>
      <c r="M294" s="23">
        <v>44954</v>
      </c>
      <c r="N294" s="23">
        <v>44958</v>
      </c>
      <c r="O294" s="23">
        <v>44974</v>
      </c>
      <c r="P294" s="23">
        <v>45151</v>
      </c>
      <c r="Q294" s="23">
        <v>45197</v>
      </c>
      <c r="R294" s="23">
        <v>45523</v>
      </c>
      <c r="S294" s="23">
        <v>45693</v>
      </c>
    </row>
    <row r="295" spans="1:21" ht="24" customHeight="1" thickTop="1" thickBot="1" x14ac:dyDescent="0.45">
      <c r="A295" s="40" t="s">
        <v>2708</v>
      </c>
      <c r="B295" s="3" t="s">
        <v>2709</v>
      </c>
      <c r="C295" s="3">
        <v>438</v>
      </c>
      <c r="D295" s="23">
        <v>34315</v>
      </c>
      <c r="E295" s="3" t="s">
        <v>1</v>
      </c>
      <c r="F295" s="3" t="s">
        <v>6</v>
      </c>
      <c r="G295" s="3">
        <v>4</v>
      </c>
      <c r="H295" s="3" t="s">
        <v>2</v>
      </c>
      <c r="K295" s="23" t="s">
        <v>978</v>
      </c>
      <c r="L295" s="23">
        <v>44518</v>
      </c>
      <c r="M295" s="23">
        <v>44519</v>
      </c>
      <c r="N295" s="23">
        <v>44520</v>
      </c>
      <c r="O295" s="23">
        <v>44531</v>
      </c>
      <c r="P295" s="23">
        <v>44561</v>
      </c>
      <c r="Q295" s="23">
        <v>44958</v>
      </c>
      <c r="R295" s="23">
        <v>45258</v>
      </c>
      <c r="S295" s="23">
        <v>45856</v>
      </c>
    </row>
    <row r="296" spans="1:21" ht="24" customHeight="1" thickTop="1" thickBot="1" x14ac:dyDescent="0.45">
      <c r="A296" s="40" t="s">
        <v>2710</v>
      </c>
      <c r="B296" s="3" t="s">
        <v>2711</v>
      </c>
      <c r="C296" s="3">
        <v>542</v>
      </c>
      <c r="D296" s="23">
        <v>35040</v>
      </c>
      <c r="E296" s="3" t="s">
        <v>1</v>
      </c>
      <c r="F296" s="3" t="s">
        <v>6</v>
      </c>
      <c r="G296" s="3">
        <v>4</v>
      </c>
      <c r="H296" s="3" t="s">
        <v>2</v>
      </c>
      <c r="K296" s="23" t="s">
        <v>986</v>
      </c>
      <c r="L296" s="23">
        <v>44765</v>
      </c>
      <c r="M296" s="23">
        <v>44765</v>
      </c>
      <c r="N296" s="23">
        <v>44769</v>
      </c>
      <c r="O296" s="23">
        <v>44849</v>
      </c>
      <c r="P296" s="23">
        <v>44942</v>
      </c>
      <c r="Q296" s="23">
        <v>45143</v>
      </c>
      <c r="R296" s="23">
        <v>45230</v>
      </c>
      <c r="S296" s="23">
        <v>45523</v>
      </c>
    </row>
    <row r="297" spans="1:21" ht="24" customHeight="1" thickTop="1" thickBot="1" x14ac:dyDescent="0.45">
      <c r="A297" s="40" t="s">
        <v>30</v>
      </c>
      <c r="B297" s="3" t="s">
        <v>2712</v>
      </c>
      <c r="C297" s="3">
        <v>193</v>
      </c>
      <c r="D297" s="23">
        <v>35520</v>
      </c>
      <c r="E297" s="3" t="s">
        <v>1</v>
      </c>
      <c r="F297" s="3" t="s">
        <v>6</v>
      </c>
      <c r="G297" s="3">
        <v>4</v>
      </c>
      <c r="H297" s="3" t="s">
        <v>2</v>
      </c>
      <c r="K297" s="23" t="s">
        <v>2713</v>
      </c>
      <c r="L297" s="23">
        <v>43209</v>
      </c>
      <c r="M297" s="23">
        <v>43299</v>
      </c>
      <c r="N297" s="23">
        <v>44387</v>
      </c>
      <c r="Q297" s="23">
        <v>44390</v>
      </c>
      <c r="R297" s="23" t="s">
        <v>2714</v>
      </c>
      <c r="S297" s="23" t="s">
        <v>2715</v>
      </c>
    </row>
    <row r="298" spans="1:21" ht="24" customHeight="1" thickTop="1" thickBot="1" x14ac:dyDescent="0.45">
      <c r="A298" s="40" t="s">
        <v>2716</v>
      </c>
      <c r="B298" s="3" t="s">
        <v>2717</v>
      </c>
      <c r="C298" s="3">
        <v>5969</v>
      </c>
      <c r="D298" s="23">
        <v>33473</v>
      </c>
      <c r="E298" s="3" t="s">
        <v>1</v>
      </c>
      <c r="F298" s="3" t="s">
        <v>6</v>
      </c>
      <c r="G298" s="3">
        <v>4</v>
      </c>
      <c r="H298" s="3" t="s">
        <v>2</v>
      </c>
      <c r="K298" s="43" t="s">
        <v>2718</v>
      </c>
      <c r="L298" s="61"/>
      <c r="M298" s="23">
        <v>43334</v>
      </c>
      <c r="N298" s="23">
        <v>44390</v>
      </c>
      <c r="R298" s="23">
        <v>44390</v>
      </c>
      <c r="S298" s="23" t="s">
        <v>2719</v>
      </c>
    </row>
    <row r="299" spans="1:21" ht="24" customHeight="1" thickTop="1" thickBot="1" x14ac:dyDescent="0.45">
      <c r="A299" s="40" t="s">
        <v>5</v>
      </c>
      <c r="B299" s="3" t="s">
        <v>2720</v>
      </c>
      <c r="C299" s="3">
        <v>473</v>
      </c>
      <c r="D299" s="23">
        <v>36983</v>
      </c>
      <c r="E299" s="3" t="s">
        <v>1</v>
      </c>
      <c r="F299" s="3" t="s">
        <v>1238</v>
      </c>
      <c r="G299" s="3">
        <v>4</v>
      </c>
      <c r="H299" s="3" t="s">
        <v>2</v>
      </c>
      <c r="K299" s="23" t="s">
        <v>1087</v>
      </c>
      <c r="L299" s="23">
        <v>44562</v>
      </c>
      <c r="M299" s="23">
        <v>44590</v>
      </c>
      <c r="N299" s="23">
        <v>44593</v>
      </c>
      <c r="O299" s="23">
        <v>44593</v>
      </c>
      <c r="P299" s="23">
        <v>44656</v>
      </c>
      <c r="Q299" s="23">
        <v>44775</v>
      </c>
      <c r="R299" s="23">
        <v>45163</v>
      </c>
      <c r="S299" s="23">
        <v>45776</v>
      </c>
    </row>
    <row r="300" spans="1:21" ht="24" customHeight="1" thickTop="1" thickBot="1" x14ac:dyDescent="0.45">
      <c r="A300" s="40" t="s">
        <v>14</v>
      </c>
      <c r="B300" s="3" t="s">
        <v>2721</v>
      </c>
      <c r="C300" s="3">
        <v>392</v>
      </c>
      <c r="D300" s="23">
        <v>34705</v>
      </c>
      <c r="E300" s="3" t="s">
        <v>1</v>
      </c>
      <c r="F300" s="3" t="s">
        <v>1239</v>
      </c>
      <c r="G300" s="3">
        <v>5</v>
      </c>
      <c r="H300" s="3" t="s">
        <v>2</v>
      </c>
      <c r="K300" s="23" t="s">
        <v>2722</v>
      </c>
      <c r="L300" s="23">
        <v>44340</v>
      </c>
      <c r="M300" s="23">
        <v>44371</v>
      </c>
      <c r="N300" s="23">
        <v>44387</v>
      </c>
      <c r="O300" s="23" t="s">
        <v>2723</v>
      </c>
      <c r="P300" s="23" t="s">
        <v>2724</v>
      </c>
      <c r="Q300" s="23" t="s">
        <v>2725</v>
      </c>
      <c r="R300" s="23">
        <v>45344</v>
      </c>
    </row>
    <row r="301" spans="1:21" ht="24" customHeight="1" thickTop="1" thickBot="1" x14ac:dyDescent="0.45">
      <c r="A301" s="40" t="s">
        <v>25</v>
      </c>
      <c r="B301" s="3" t="s">
        <v>2256</v>
      </c>
      <c r="C301" s="3">
        <v>672</v>
      </c>
      <c r="D301" s="23">
        <v>36862</v>
      </c>
      <c r="E301" s="3" t="s">
        <v>1</v>
      </c>
      <c r="F301" s="3" t="s">
        <v>6</v>
      </c>
      <c r="G301" s="3">
        <v>5</v>
      </c>
      <c r="H301" s="3" t="s">
        <v>2</v>
      </c>
      <c r="K301" s="23" t="s">
        <v>2257</v>
      </c>
      <c r="L301" s="23">
        <v>45357</v>
      </c>
      <c r="M301" s="23">
        <v>45387</v>
      </c>
      <c r="N301" s="23">
        <v>45376</v>
      </c>
      <c r="O301" s="23">
        <v>45393</v>
      </c>
      <c r="P301" s="23">
        <v>45474</v>
      </c>
      <c r="Q301" s="23">
        <v>45650</v>
      </c>
      <c r="R301" s="23">
        <v>45930</v>
      </c>
    </row>
    <row r="302" spans="1:21" ht="24" customHeight="1" thickTop="1" thickBot="1" x14ac:dyDescent="0.45">
      <c r="A302" s="40" t="s">
        <v>2726</v>
      </c>
      <c r="B302" s="3" t="s">
        <v>2727</v>
      </c>
      <c r="C302" s="3">
        <v>524</v>
      </c>
      <c r="D302" s="23">
        <v>36875</v>
      </c>
      <c r="E302" s="3" t="s">
        <v>1</v>
      </c>
      <c r="F302" s="3" t="s">
        <v>1238</v>
      </c>
      <c r="G302" s="3">
        <v>5</v>
      </c>
      <c r="H302" s="3" t="s">
        <v>2</v>
      </c>
      <c r="K302" s="23" t="s">
        <v>2728</v>
      </c>
      <c r="L302" s="23">
        <v>44656</v>
      </c>
      <c r="M302" s="23">
        <v>44726</v>
      </c>
      <c r="N302" s="23">
        <v>44656</v>
      </c>
      <c r="O302" s="23">
        <v>44684</v>
      </c>
      <c r="P302" s="23">
        <v>44884</v>
      </c>
      <c r="Q302" s="23">
        <v>45103</v>
      </c>
      <c r="R302" s="23">
        <v>45215</v>
      </c>
    </row>
    <row r="303" spans="1:21" ht="24" customHeight="1" thickTop="1" thickBot="1" x14ac:dyDescent="0.45">
      <c r="A303" s="40" t="s">
        <v>2729</v>
      </c>
      <c r="B303" s="3" t="s">
        <v>2730</v>
      </c>
      <c r="C303" s="3">
        <v>668</v>
      </c>
      <c r="D303" s="23">
        <v>37660</v>
      </c>
      <c r="E303" s="3" t="s">
        <v>1</v>
      </c>
      <c r="F303" s="3" t="s">
        <v>1238</v>
      </c>
      <c r="G303" s="3">
        <v>5</v>
      </c>
      <c r="H303" s="3" t="s">
        <v>2</v>
      </c>
      <c r="K303" s="43" t="s">
        <v>995</v>
      </c>
      <c r="L303" s="61">
        <v>45358</v>
      </c>
      <c r="M303" s="23">
        <v>45382</v>
      </c>
      <c r="N303" s="23">
        <v>45376</v>
      </c>
      <c r="O303" s="23">
        <v>45411</v>
      </c>
      <c r="P303" s="23">
        <v>45523</v>
      </c>
      <c r="Q303" s="23">
        <v>45776</v>
      </c>
      <c r="R303" s="23">
        <v>46076</v>
      </c>
    </row>
    <row r="304" spans="1:21" ht="24" customHeight="1" thickTop="1" thickBot="1" x14ac:dyDescent="0.45">
      <c r="A304" s="40" t="s">
        <v>2731</v>
      </c>
      <c r="B304" s="3" t="s">
        <v>2732</v>
      </c>
      <c r="C304" s="3">
        <v>518</v>
      </c>
      <c r="D304" s="23">
        <v>33754</v>
      </c>
      <c r="E304" s="3" t="s">
        <v>1</v>
      </c>
      <c r="F304" s="3" t="s">
        <v>6</v>
      </c>
      <c r="G304" s="3">
        <v>6</v>
      </c>
      <c r="H304" s="3" t="s">
        <v>2</v>
      </c>
      <c r="K304" s="43" t="s">
        <v>2733</v>
      </c>
      <c r="L304" s="61"/>
      <c r="M304" s="23">
        <v>44687</v>
      </c>
      <c r="N304" s="23">
        <v>44728</v>
      </c>
      <c r="O304" s="23">
        <v>44728</v>
      </c>
    </row>
    <row r="305" spans="1:19" ht="24" customHeight="1" thickTop="1" thickBot="1" x14ac:dyDescent="0.45">
      <c r="A305" s="40" t="s">
        <v>2734</v>
      </c>
      <c r="B305" s="3" t="s">
        <v>2735</v>
      </c>
      <c r="C305" s="3">
        <v>541</v>
      </c>
      <c r="D305" s="23">
        <v>34769</v>
      </c>
      <c r="E305" s="3" t="s">
        <v>1</v>
      </c>
      <c r="F305" s="3" t="s">
        <v>6</v>
      </c>
      <c r="G305" s="3">
        <v>6</v>
      </c>
      <c r="H305" s="3" t="s">
        <v>2</v>
      </c>
      <c r="K305" s="23" t="s">
        <v>2736</v>
      </c>
      <c r="M305" s="23">
        <v>44765</v>
      </c>
      <c r="N305" s="23">
        <v>44769</v>
      </c>
      <c r="O305" s="23">
        <v>44769</v>
      </c>
      <c r="P305" s="23">
        <v>45474</v>
      </c>
      <c r="Q305" s="23">
        <v>45669</v>
      </c>
    </row>
    <row r="306" spans="1:19" ht="24" customHeight="1" thickTop="1" thickBot="1" x14ac:dyDescent="0.45">
      <c r="A306" s="40" t="s">
        <v>2737</v>
      </c>
      <c r="B306" s="3" t="s">
        <v>2738</v>
      </c>
      <c r="C306" s="3">
        <v>631</v>
      </c>
      <c r="D306" s="23">
        <v>35800</v>
      </c>
      <c r="E306" s="3" t="s">
        <v>1</v>
      </c>
      <c r="F306" s="3" t="s">
        <v>6</v>
      </c>
      <c r="G306" s="3">
        <v>6</v>
      </c>
      <c r="H306" s="3" t="s">
        <v>2</v>
      </c>
      <c r="K306" s="23" t="s">
        <v>991</v>
      </c>
      <c r="L306" s="23">
        <v>45204</v>
      </c>
      <c r="M306" s="23">
        <v>45211</v>
      </c>
      <c r="N306" s="23">
        <v>45215</v>
      </c>
      <c r="O306" s="23">
        <v>45230</v>
      </c>
      <c r="P306" s="23">
        <v>45344</v>
      </c>
      <c r="Q306" s="23">
        <v>45650</v>
      </c>
    </row>
    <row r="307" spans="1:19" ht="24" customHeight="1" thickTop="1" thickBot="1" x14ac:dyDescent="0.45">
      <c r="A307" s="40" t="s">
        <v>2739</v>
      </c>
      <c r="B307" s="3" t="s">
        <v>2740</v>
      </c>
      <c r="C307" s="3">
        <v>610</v>
      </c>
      <c r="D307" s="23">
        <v>34302</v>
      </c>
      <c r="E307" s="3" t="s">
        <v>1</v>
      </c>
      <c r="F307" s="3" t="s">
        <v>6</v>
      </c>
      <c r="G307" s="3">
        <v>6</v>
      </c>
      <c r="H307" s="3" t="s">
        <v>2</v>
      </c>
      <c r="K307" s="23" t="s">
        <v>1385</v>
      </c>
      <c r="L307" s="23">
        <v>45137</v>
      </c>
      <c r="M307" s="23">
        <v>45139</v>
      </c>
      <c r="N307" s="23">
        <v>45151</v>
      </c>
      <c r="O307" s="23">
        <v>45163</v>
      </c>
      <c r="P307" s="23">
        <v>45289</v>
      </c>
      <c r="Q307" s="23">
        <v>46103</v>
      </c>
    </row>
    <row r="308" spans="1:19" ht="24" customHeight="1" thickTop="1" thickBot="1" x14ac:dyDescent="0.45">
      <c r="A308" s="40" t="s">
        <v>24</v>
      </c>
      <c r="B308" s="3" t="s">
        <v>2741</v>
      </c>
      <c r="C308" s="3">
        <v>387</v>
      </c>
      <c r="D308" s="23">
        <v>33499</v>
      </c>
      <c r="E308" s="3" t="s">
        <v>1</v>
      </c>
      <c r="F308" s="3" t="s">
        <v>1238</v>
      </c>
      <c r="G308" s="3">
        <v>6</v>
      </c>
      <c r="H308" s="3" t="s">
        <v>2</v>
      </c>
      <c r="K308" s="23" t="s">
        <v>2742</v>
      </c>
      <c r="L308" s="23">
        <v>44365</v>
      </c>
      <c r="M308" s="23">
        <v>44367</v>
      </c>
      <c r="N308" s="23">
        <v>44396</v>
      </c>
      <c r="O308" s="23">
        <v>44396</v>
      </c>
      <c r="P308" s="23">
        <v>44516</v>
      </c>
      <c r="Q308" s="23">
        <v>44593</v>
      </c>
    </row>
    <row r="309" spans="1:19" ht="24" customHeight="1" thickTop="1" thickBot="1" x14ac:dyDescent="0.45">
      <c r="A309" s="40" t="s">
        <v>2743</v>
      </c>
      <c r="B309" s="3" t="s">
        <v>2744</v>
      </c>
      <c r="C309" s="3">
        <v>605</v>
      </c>
      <c r="D309" s="23">
        <v>35119</v>
      </c>
      <c r="E309" s="3" t="s">
        <v>1</v>
      </c>
      <c r="F309" s="3" t="s">
        <v>1238</v>
      </c>
      <c r="G309" s="3">
        <v>6</v>
      </c>
      <c r="H309" s="3" t="s">
        <v>2</v>
      </c>
      <c r="K309" s="23" t="s">
        <v>2745</v>
      </c>
      <c r="L309" s="23">
        <v>45091</v>
      </c>
      <c r="M309" s="23">
        <v>45101</v>
      </c>
      <c r="N309" s="23">
        <v>45103</v>
      </c>
      <c r="O309" s="23">
        <v>45103</v>
      </c>
      <c r="P309" s="23">
        <v>45215</v>
      </c>
      <c r="Q309" s="23">
        <v>45523</v>
      </c>
    </row>
    <row r="310" spans="1:19" ht="24" customHeight="1" thickTop="1" thickBot="1" x14ac:dyDescent="0.45">
      <c r="A310" s="40" t="s">
        <v>2746</v>
      </c>
      <c r="B310" s="3" t="s">
        <v>2747</v>
      </c>
      <c r="C310" s="3">
        <v>360</v>
      </c>
      <c r="D310" s="23">
        <v>33984</v>
      </c>
      <c r="E310" s="3" t="s">
        <v>1</v>
      </c>
      <c r="F310" s="3" t="s">
        <v>1239</v>
      </c>
      <c r="G310" s="3">
        <v>7</v>
      </c>
      <c r="H310" s="3" t="s">
        <v>2</v>
      </c>
      <c r="K310" s="23" t="s">
        <v>1152</v>
      </c>
      <c r="L310" s="23">
        <v>44323</v>
      </c>
      <c r="M310" s="23">
        <v>44329</v>
      </c>
      <c r="N310" s="23">
        <v>44387</v>
      </c>
      <c r="O310" s="23">
        <v>44387</v>
      </c>
      <c r="P310" s="23">
        <v>44528</v>
      </c>
    </row>
    <row r="311" spans="1:19" ht="24" customHeight="1" thickTop="1" thickBot="1" x14ac:dyDescent="0.45">
      <c r="A311" s="40" t="s">
        <v>2748</v>
      </c>
      <c r="B311" s="3" t="s">
        <v>2749</v>
      </c>
      <c r="C311" s="3">
        <v>660</v>
      </c>
      <c r="D311" s="23">
        <v>36378</v>
      </c>
      <c r="E311" s="3" t="s">
        <v>1</v>
      </c>
      <c r="F311" s="3" t="s">
        <v>1239</v>
      </c>
      <c r="G311" s="3">
        <v>7</v>
      </c>
      <c r="H311" s="3" t="s">
        <v>2</v>
      </c>
      <c r="K311" s="23" t="s">
        <v>1393</v>
      </c>
      <c r="L311" s="23">
        <v>45344</v>
      </c>
      <c r="M311" s="23">
        <v>45350</v>
      </c>
      <c r="N311" s="23">
        <v>45344</v>
      </c>
      <c r="O311" s="23">
        <v>45392</v>
      </c>
      <c r="P311" s="23">
        <v>46103</v>
      </c>
    </row>
    <row r="312" spans="1:19" ht="24" customHeight="1" thickTop="1" thickBot="1" x14ac:dyDescent="0.45">
      <c r="A312" s="40" t="s">
        <v>2750</v>
      </c>
      <c r="B312" s="3" t="s">
        <v>2751</v>
      </c>
      <c r="C312" s="3">
        <v>332</v>
      </c>
      <c r="D312" s="23">
        <v>34091</v>
      </c>
      <c r="E312" s="3" t="s">
        <v>1</v>
      </c>
      <c r="F312" s="3" t="s">
        <v>6</v>
      </c>
      <c r="G312" s="3">
        <v>7</v>
      </c>
      <c r="H312" s="3" t="s">
        <v>2</v>
      </c>
      <c r="K312" s="23" t="s">
        <v>1391</v>
      </c>
      <c r="L312" s="23">
        <v>44268</v>
      </c>
      <c r="M312" s="23">
        <v>44268</v>
      </c>
      <c r="N312" s="23">
        <v>44387</v>
      </c>
      <c r="P312" s="23">
        <v>44884</v>
      </c>
      <c r="Q312" s="23">
        <v>44396</v>
      </c>
      <c r="R312" s="23">
        <v>44390</v>
      </c>
      <c r="S312" s="23">
        <v>44387</v>
      </c>
    </row>
    <row r="313" spans="1:19" ht="24" customHeight="1" thickTop="1" thickBot="1" x14ac:dyDescent="0.45">
      <c r="A313" s="40" t="s">
        <v>2752</v>
      </c>
      <c r="B313" s="3" t="s">
        <v>2753</v>
      </c>
      <c r="C313" s="3">
        <v>785</v>
      </c>
      <c r="D313" s="23">
        <v>35767</v>
      </c>
      <c r="E313" s="3" t="s">
        <v>1</v>
      </c>
      <c r="F313" s="3" t="s">
        <v>6</v>
      </c>
      <c r="G313" s="3">
        <v>7</v>
      </c>
      <c r="H313" s="3" t="s">
        <v>2</v>
      </c>
      <c r="K313" s="23" t="s">
        <v>2754</v>
      </c>
      <c r="L313" s="23">
        <v>45866</v>
      </c>
      <c r="M313" s="23">
        <v>45897</v>
      </c>
      <c r="N313" s="23">
        <v>45897</v>
      </c>
      <c r="O313" s="23">
        <v>45930</v>
      </c>
      <c r="P313" s="23">
        <v>46103</v>
      </c>
    </row>
    <row r="314" spans="1:19" ht="24" customHeight="1" thickTop="1" thickBot="1" x14ac:dyDescent="0.45">
      <c r="A314" s="40" t="s">
        <v>2755</v>
      </c>
      <c r="B314" s="3" t="s">
        <v>2756</v>
      </c>
      <c r="C314" s="3">
        <v>763</v>
      </c>
      <c r="D314" s="23">
        <v>35169</v>
      </c>
      <c r="E314" s="3" t="s">
        <v>1</v>
      </c>
      <c r="F314" s="3" t="s">
        <v>1238</v>
      </c>
      <c r="G314" s="3">
        <v>7</v>
      </c>
      <c r="H314" s="3" t="s">
        <v>2</v>
      </c>
      <c r="K314" s="23" t="s">
        <v>2757</v>
      </c>
      <c r="L314" s="23">
        <v>44935</v>
      </c>
      <c r="M314" s="23">
        <v>44954</v>
      </c>
      <c r="N314" s="23">
        <v>44942</v>
      </c>
      <c r="O314" s="23">
        <v>45011</v>
      </c>
      <c r="P314" s="23">
        <v>45197</v>
      </c>
    </row>
    <row r="315" spans="1:19" ht="24" customHeight="1" thickTop="1" thickBot="1" x14ac:dyDescent="0.45">
      <c r="A315" s="40" t="s">
        <v>2758</v>
      </c>
      <c r="B315" s="3" t="s">
        <v>1458</v>
      </c>
      <c r="C315" s="3">
        <v>823</v>
      </c>
      <c r="D315" s="23">
        <v>34102</v>
      </c>
      <c r="E315" s="3" t="s">
        <v>1</v>
      </c>
      <c r="F315" s="3" t="s">
        <v>1239</v>
      </c>
      <c r="G315" s="3">
        <v>8</v>
      </c>
      <c r="H315" s="3" t="s">
        <v>2</v>
      </c>
      <c r="K315" s="23" t="s">
        <v>2759</v>
      </c>
      <c r="L315" s="23">
        <v>46030</v>
      </c>
      <c r="M315" s="23">
        <v>46064</v>
      </c>
      <c r="N315" s="23">
        <v>46053</v>
      </c>
      <c r="O315" s="23">
        <v>46148</v>
      </c>
    </row>
    <row r="316" spans="1:19" ht="24" customHeight="1" thickTop="1" thickBot="1" x14ac:dyDescent="0.45">
      <c r="A316" s="40" t="s">
        <v>2760</v>
      </c>
      <c r="B316" s="3" t="s">
        <v>1758</v>
      </c>
      <c r="C316" s="3">
        <v>839</v>
      </c>
      <c r="D316" s="23">
        <v>36721</v>
      </c>
      <c r="E316" s="3" t="s">
        <v>1</v>
      </c>
      <c r="F316" s="3" t="s">
        <v>1238</v>
      </c>
      <c r="G316" s="3" t="s">
        <v>2140</v>
      </c>
      <c r="H316" s="3" t="s">
        <v>2</v>
      </c>
      <c r="K316" s="23" t="s">
        <v>1394</v>
      </c>
      <c r="M316" s="23">
        <v>46153</v>
      </c>
    </row>
    <row r="317" spans="1:19" ht="24" customHeight="1" thickTop="1" thickBot="1" x14ac:dyDescent="0.45">
      <c r="A317" s="40" t="s">
        <v>2761</v>
      </c>
      <c r="B317" s="3" t="s">
        <v>2762</v>
      </c>
      <c r="C317" s="3">
        <v>108</v>
      </c>
      <c r="D317" s="23">
        <v>34595</v>
      </c>
      <c r="E317" s="3" t="s">
        <v>43</v>
      </c>
      <c r="F317" s="3" t="s">
        <v>1239</v>
      </c>
      <c r="G317" s="3" t="s">
        <v>1264</v>
      </c>
      <c r="H317" s="3" t="s">
        <v>18</v>
      </c>
    </row>
    <row r="318" spans="1:19" ht="24" customHeight="1" thickTop="1" thickBot="1" x14ac:dyDescent="0.45">
      <c r="A318" s="40" t="s">
        <v>2763</v>
      </c>
      <c r="B318" s="3" t="s">
        <v>2764</v>
      </c>
      <c r="C318" s="3">
        <v>68</v>
      </c>
      <c r="D318" s="23">
        <v>34674</v>
      </c>
      <c r="E318" s="3" t="s">
        <v>43</v>
      </c>
      <c r="F318" s="3" t="s">
        <v>6</v>
      </c>
      <c r="G318" s="3" t="s">
        <v>1264</v>
      </c>
      <c r="H318" s="3" t="s">
        <v>18</v>
      </c>
    </row>
    <row r="319" spans="1:19" ht="24" customHeight="1" thickTop="1" thickBot="1" x14ac:dyDescent="0.45">
      <c r="A319" s="40" t="s">
        <v>52</v>
      </c>
      <c r="B319" s="3" t="s">
        <v>2765</v>
      </c>
      <c r="C319" s="3">
        <v>38</v>
      </c>
      <c r="D319" s="23">
        <v>33830</v>
      </c>
      <c r="E319" s="3" t="s">
        <v>43</v>
      </c>
      <c r="F319" s="3" t="s">
        <v>1238</v>
      </c>
      <c r="G319" s="3" t="s">
        <v>1264</v>
      </c>
      <c r="H319" s="3" t="s">
        <v>18</v>
      </c>
    </row>
    <row r="320" spans="1:19" ht="24" customHeight="1" thickTop="1" thickBot="1" x14ac:dyDescent="0.45">
      <c r="A320" s="40" t="s">
        <v>45</v>
      </c>
      <c r="B320" s="3" t="s">
        <v>2766</v>
      </c>
      <c r="C320" s="3">
        <v>44</v>
      </c>
      <c r="D320" s="23">
        <v>32961</v>
      </c>
      <c r="E320" s="3" t="s">
        <v>43</v>
      </c>
      <c r="F320" s="3" t="s">
        <v>1239</v>
      </c>
      <c r="G320" s="3" t="s">
        <v>1262</v>
      </c>
      <c r="H320" s="3" t="s">
        <v>18</v>
      </c>
    </row>
    <row r="321" spans="1:8" ht="24" customHeight="1" thickTop="1" thickBot="1" x14ac:dyDescent="0.45">
      <c r="A321" s="40" t="s">
        <v>2767</v>
      </c>
      <c r="B321" s="3" t="s">
        <v>2768</v>
      </c>
      <c r="C321" s="3">
        <v>96</v>
      </c>
      <c r="D321" s="23" t="s">
        <v>3749</v>
      </c>
      <c r="E321" s="3" t="s">
        <v>43</v>
      </c>
      <c r="F321" s="3" t="s">
        <v>1239</v>
      </c>
      <c r="G321" s="3" t="s">
        <v>1262</v>
      </c>
      <c r="H321" s="3" t="s">
        <v>18</v>
      </c>
    </row>
    <row r="322" spans="1:8" ht="24" customHeight="1" thickTop="1" thickBot="1" x14ac:dyDescent="0.45">
      <c r="A322" s="40" t="s">
        <v>2769</v>
      </c>
      <c r="B322" s="3" t="s">
        <v>2770</v>
      </c>
      <c r="C322" s="3">
        <v>7</v>
      </c>
      <c r="D322" s="23">
        <v>33946</v>
      </c>
      <c r="E322" s="3" t="s">
        <v>43</v>
      </c>
      <c r="F322" s="3" t="s">
        <v>6</v>
      </c>
      <c r="G322" s="3" t="s">
        <v>1262</v>
      </c>
      <c r="H322" s="3" t="s">
        <v>18</v>
      </c>
    </row>
    <row r="323" spans="1:8" ht="24" customHeight="1" thickTop="1" thickBot="1" x14ac:dyDescent="0.45">
      <c r="A323" s="40" t="s">
        <v>2771</v>
      </c>
      <c r="B323" s="3" t="s">
        <v>2772</v>
      </c>
      <c r="C323" s="3">
        <v>171</v>
      </c>
      <c r="D323" s="23" t="s">
        <v>3749</v>
      </c>
      <c r="E323" s="3" t="s">
        <v>43</v>
      </c>
      <c r="F323" s="3" t="s">
        <v>6</v>
      </c>
      <c r="G323" s="3" t="s">
        <v>1262</v>
      </c>
      <c r="H323" s="3" t="s">
        <v>18</v>
      </c>
    </row>
    <row r="324" spans="1:8" ht="24" customHeight="1" thickTop="1" thickBot="1" x14ac:dyDescent="0.45">
      <c r="A324" s="40" t="s">
        <v>2773</v>
      </c>
      <c r="B324" s="3" t="s">
        <v>2774</v>
      </c>
      <c r="C324" s="3">
        <v>47</v>
      </c>
      <c r="D324" s="23">
        <v>32820</v>
      </c>
      <c r="E324" s="3" t="s">
        <v>43</v>
      </c>
      <c r="F324" s="3" t="s">
        <v>1238</v>
      </c>
      <c r="G324" s="3" t="s">
        <v>1262</v>
      </c>
      <c r="H324" s="3" t="s">
        <v>18</v>
      </c>
    </row>
    <row r="325" spans="1:8" ht="24" customHeight="1" thickTop="1" thickBot="1" x14ac:dyDescent="0.45">
      <c r="A325" s="40" t="s">
        <v>2775</v>
      </c>
      <c r="B325" s="3" t="s">
        <v>2776</v>
      </c>
      <c r="C325" s="3">
        <v>131</v>
      </c>
      <c r="D325" s="23">
        <v>34479</v>
      </c>
      <c r="E325" s="3" t="s">
        <v>43</v>
      </c>
      <c r="F325" s="3" t="s">
        <v>1238</v>
      </c>
      <c r="G325" s="3" t="s">
        <v>1262</v>
      </c>
      <c r="H325" s="3" t="s">
        <v>18</v>
      </c>
    </row>
    <row r="326" spans="1:8" ht="24" customHeight="1" thickTop="1" thickBot="1" x14ac:dyDescent="0.45">
      <c r="A326" s="40" t="s">
        <v>2777</v>
      </c>
      <c r="B326" s="3" t="s">
        <v>2778</v>
      </c>
      <c r="C326" s="3">
        <v>107</v>
      </c>
      <c r="D326" s="23" t="s">
        <v>3749</v>
      </c>
      <c r="E326" s="3" t="s">
        <v>43</v>
      </c>
      <c r="F326" s="3" t="s">
        <v>1238</v>
      </c>
      <c r="G326" s="3" t="s">
        <v>1262</v>
      </c>
      <c r="H326" s="3" t="s">
        <v>18</v>
      </c>
    </row>
    <row r="327" spans="1:8" ht="24" customHeight="1" thickTop="1" thickBot="1" x14ac:dyDescent="0.45">
      <c r="A327" s="40" t="s">
        <v>2779</v>
      </c>
      <c r="B327" s="3" t="s">
        <v>2780</v>
      </c>
      <c r="C327" s="3">
        <v>90</v>
      </c>
      <c r="D327" s="23">
        <v>34236</v>
      </c>
      <c r="E327" s="3" t="s">
        <v>43</v>
      </c>
      <c r="F327" s="3" t="s">
        <v>1239</v>
      </c>
      <c r="G327" s="3" t="s">
        <v>1261</v>
      </c>
      <c r="H327" s="3" t="s">
        <v>18</v>
      </c>
    </row>
    <row r="328" spans="1:8" ht="24" customHeight="1" thickTop="1" thickBot="1" x14ac:dyDescent="0.45">
      <c r="A328" s="40" t="s">
        <v>2781</v>
      </c>
      <c r="B328" s="3" t="s">
        <v>2782</v>
      </c>
      <c r="C328" s="3">
        <v>163</v>
      </c>
      <c r="D328" s="23" t="s">
        <v>3749</v>
      </c>
      <c r="E328" s="3" t="s">
        <v>43</v>
      </c>
      <c r="F328" s="3" t="s">
        <v>1239</v>
      </c>
      <c r="G328" s="3" t="s">
        <v>1261</v>
      </c>
      <c r="H328" s="3" t="s">
        <v>18</v>
      </c>
    </row>
    <row r="329" spans="1:8" ht="24" customHeight="1" thickTop="1" thickBot="1" x14ac:dyDescent="0.45">
      <c r="A329" s="40" t="s">
        <v>2783</v>
      </c>
      <c r="B329" s="3" t="s">
        <v>2784</v>
      </c>
      <c r="C329" s="3">
        <v>50</v>
      </c>
      <c r="D329" s="23">
        <v>31813</v>
      </c>
      <c r="E329" s="3" t="s">
        <v>43</v>
      </c>
      <c r="F329" s="3" t="s">
        <v>1239</v>
      </c>
      <c r="G329" s="3" t="s">
        <v>1261</v>
      </c>
      <c r="H329" s="3" t="s">
        <v>18</v>
      </c>
    </row>
    <row r="330" spans="1:8" ht="24" customHeight="1" thickTop="1" thickBot="1" x14ac:dyDescent="0.45">
      <c r="A330" s="40" t="s">
        <v>2785</v>
      </c>
      <c r="B330" s="3" t="s">
        <v>2786</v>
      </c>
      <c r="C330" s="3">
        <v>159</v>
      </c>
      <c r="D330" s="23" t="s">
        <v>3749</v>
      </c>
      <c r="E330" s="3" t="s">
        <v>43</v>
      </c>
      <c r="F330" s="3" t="s">
        <v>1239</v>
      </c>
      <c r="G330" s="3" t="s">
        <v>1261</v>
      </c>
      <c r="H330" s="3" t="s">
        <v>18</v>
      </c>
    </row>
    <row r="331" spans="1:8" ht="24" customHeight="1" thickTop="1" thickBot="1" x14ac:dyDescent="0.45">
      <c r="A331" s="40" t="s">
        <v>42</v>
      </c>
      <c r="B331" s="3" t="s">
        <v>2787</v>
      </c>
      <c r="C331" s="3">
        <v>23</v>
      </c>
      <c r="D331" s="23">
        <v>32800</v>
      </c>
      <c r="E331" s="3" t="s">
        <v>43</v>
      </c>
      <c r="F331" s="3" t="s">
        <v>6</v>
      </c>
      <c r="G331" s="3" t="s">
        <v>1261</v>
      </c>
      <c r="H331" s="3" t="s">
        <v>18</v>
      </c>
    </row>
    <row r="332" spans="1:8" ht="24" customHeight="1" thickTop="1" thickBot="1" x14ac:dyDescent="0.45">
      <c r="A332" s="40" t="s">
        <v>2788</v>
      </c>
      <c r="B332" s="3" t="s">
        <v>2789</v>
      </c>
      <c r="C332" s="3">
        <v>161</v>
      </c>
      <c r="D332" s="23" t="s">
        <v>3749</v>
      </c>
      <c r="E332" s="3" t="s">
        <v>43</v>
      </c>
      <c r="F332" s="3" t="s">
        <v>6</v>
      </c>
      <c r="G332" s="3" t="s">
        <v>1261</v>
      </c>
      <c r="H332" s="3" t="s">
        <v>18</v>
      </c>
    </row>
    <row r="333" spans="1:8" ht="24" customHeight="1" thickTop="1" thickBot="1" x14ac:dyDescent="0.45">
      <c r="A333" s="40" t="s">
        <v>2790</v>
      </c>
      <c r="B333" s="3" t="s">
        <v>2791</v>
      </c>
      <c r="C333" s="3">
        <v>121</v>
      </c>
      <c r="D333" s="23" t="s">
        <v>3749</v>
      </c>
      <c r="E333" s="3" t="s">
        <v>43</v>
      </c>
      <c r="F333" s="3" t="s">
        <v>1238</v>
      </c>
      <c r="G333" s="3" t="s">
        <v>1261</v>
      </c>
      <c r="H333" s="3" t="s">
        <v>18</v>
      </c>
    </row>
    <row r="334" spans="1:8" ht="24" customHeight="1" thickTop="1" thickBot="1" x14ac:dyDescent="0.45">
      <c r="A334" s="40" t="s">
        <v>2792</v>
      </c>
      <c r="B334" s="3" t="s">
        <v>2793</v>
      </c>
      <c r="C334" s="3">
        <v>128</v>
      </c>
      <c r="D334" s="23" t="s">
        <v>3749</v>
      </c>
      <c r="E334" s="3" t="s">
        <v>43</v>
      </c>
      <c r="F334" s="3" t="s">
        <v>1238</v>
      </c>
      <c r="G334" s="3" t="s">
        <v>1261</v>
      </c>
      <c r="H334" s="3" t="s">
        <v>18</v>
      </c>
    </row>
    <row r="335" spans="1:8" ht="24" customHeight="1" thickTop="1" thickBot="1" x14ac:dyDescent="0.45">
      <c r="A335" s="40" t="s">
        <v>2794</v>
      </c>
      <c r="B335" s="3" t="s">
        <v>2795</v>
      </c>
      <c r="C335" s="3">
        <v>133</v>
      </c>
      <c r="D335" s="23" t="s">
        <v>3749</v>
      </c>
      <c r="E335" s="3" t="s">
        <v>43</v>
      </c>
      <c r="F335" s="3" t="s">
        <v>1238</v>
      </c>
      <c r="G335" s="3" t="s">
        <v>1261</v>
      </c>
      <c r="H335" s="3" t="s">
        <v>18</v>
      </c>
    </row>
    <row r="336" spans="1:8" ht="24" customHeight="1" thickTop="1" thickBot="1" x14ac:dyDescent="0.45">
      <c r="A336" s="40" t="s">
        <v>2796</v>
      </c>
      <c r="B336" s="3" t="s">
        <v>2797</v>
      </c>
      <c r="C336" s="3">
        <v>80</v>
      </c>
      <c r="D336" s="23">
        <v>31939</v>
      </c>
      <c r="E336" s="3" t="s">
        <v>43</v>
      </c>
      <c r="F336" s="3" t="s">
        <v>1238</v>
      </c>
      <c r="G336" s="3" t="s">
        <v>1261</v>
      </c>
      <c r="H336" s="3" t="s">
        <v>18</v>
      </c>
    </row>
    <row r="337" spans="1:8" ht="24" customHeight="1" thickTop="1" thickBot="1" x14ac:dyDescent="0.45">
      <c r="A337" s="40" t="s">
        <v>2798</v>
      </c>
      <c r="B337" s="3" t="s">
        <v>2799</v>
      </c>
      <c r="C337" s="3">
        <v>139</v>
      </c>
      <c r="D337" s="23" t="s">
        <v>3749</v>
      </c>
      <c r="E337" s="3" t="s">
        <v>43</v>
      </c>
      <c r="F337" s="3" t="s">
        <v>1239</v>
      </c>
      <c r="G337" s="3" t="s">
        <v>1248</v>
      </c>
      <c r="H337" s="3" t="s">
        <v>18</v>
      </c>
    </row>
    <row r="338" spans="1:8" ht="24" customHeight="1" thickTop="1" thickBot="1" x14ac:dyDescent="0.45">
      <c r="A338" s="40" t="s">
        <v>65</v>
      </c>
      <c r="B338" s="3" t="s">
        <v>2800</v>
      </c>
      <c r="C338" s="3">
        <v>76</v>
      </c>
      <c r="D338" s="23">
        <v>32853</v>
      </c>
      <c r="E338" s="3" t="s">
        <v>43</v>
      </c>
      <c r="F338" s="3" t="s">
        <v>1239</v>
      </c>
      <c r="G338" s="3" t="s">
        <v>1248</v>
      </c>
      <c r="H338" s="3" t="s">
        <v>18</v>
      </c>
    </row>
    <row r="339" spans="1:8" ht="24" customHeight="1" thickTop="1" thickBot="1" x14ac:dyDescent="0.45">
      <c r="A339" s="40" t="s">
        <v>2801</v>
      </c>
      <c r="B339" s="3" t="s">
        <v>2802</v>
      </c>
      <c r="C339" s="3">
        <v>184</v>
      </c>
      <c r="D339" s="23">
        <v>31743</v>
      </c>
      <c r="E339" s="3" t="s">
        <v>43</v>
      </c>
      <c r="F339" s="3" t="s">
        <v>6</v>
      </c>
      <c r="G339" s="3" t="s">
        <v>1248</v>
      </c>
      <c r="H339" s="3" t="s">
        <v>18</v>
      </c>
    </row>
    <row r="340" spans="1:8" ht="24" customHeight="1" thickTop="1" thickBot="1" x14ac:dyDescent="0.45">
      <c r="A340" s="40" t="s">
        <v>110</v>
      </c>
      <c r="B340" s="3" t="s">
        <v>1244</v>
      </c>
      <c r="C340" s="3">
        <v>74</v>
      </c>
      <c r="D340" s="23">
        <v>33464</v>
      </c>
      <c r="E340" s="3" t="s">
        <v>43</v>
      </c>
      <c r="F340" s="3" t="s">
        <v>1238</v>
      </c>
      <c r="G340" s="3" t="s">
        <v>1248</v>
      </c>
      <c r="H340" s="3" t="s">
        <v>18</v>
      </c>
    </row>
    <row r="341" spans="1:8" ht="24" customHeight="1" thickTop="1" thickBot="1" x14ac:dyDescent="0.45">
      <c r="A341" s="40" t="s">
        <v>2803</v>
      </c>
      <c r="B341" s="3" t="s">
        <v>2804</v>
      </c>
      <c r="C341" s="3">
        <v>82</v>
      </c>
      <c r="D341" s="23">
        <v>33830</v>
      </c>
      <c r="E341" s="3" t="s">
        <v>43</v>
      </c>
      <c r="F341" s="3" t="s">
        <v>1238</v>
      </c>
      <c r="G341" s="3" t="s">
        <v>1248</v>
      </c>
      <c r="H341" s="3" t="s">
        <v>18</v>
      </c>
    </row>
    <row r="342" spans="1:8" ht="24" customHeight="1" thickTop="1" thickBot="1" x14ac:dyDescent="0.45">
      <c r="A342" s="40" t="s">
        <v>92</v>
      </c>
      <c r="B342" s="3" t="s">
        <v>2805</v>
      </c>
      <c r="C342" s="3">
        <v>6255</v>
      </c>
      <c r="D342" s="23" t="s">
        <v>3749</v>
      </c>
      <c r="E342" s="3" t="s">
        <v>43</v>
      </c>
      <c r="F342" s="3" t="s">
        <v>1238</v>
      </c>
      <c r="G342" s="3">
        <v>0</v>
      </c>
      <c r="H342" s="3" t="s">
        <v>18</v>
      </c>
    </row>
    <row r="343" spans="1:8" ht="24" customHeight="1" thickTop="1" thickBot="1" x14ac:dyDescent="0.45">
      <c r="A343" s="40" t="s">
        <v>2808</v>
      </c>
      <c r="B343" s="3" t="s">
        <v>2809</v>
      </c>
      <c r="C343" s="3">
        <v>6230</v>
      </c>
      <c r="D343" s="23" t="s">
        <v>3749</v>
      </c>
      <c r="E343" s="3" t="s">
        <v>43</v>
      </c>
      <c r="F343" s="3" t="s">
        <v>1239</v>
      </c>
      <c r="G343" s="3">
        <v>1</v>
      </c>
      <c r="H343" s="3" t="s">
        <v>18</v>
      </c>
    </row>
    <row r="344" spans="1:8" ht="24" customHeight="1" thickTop="1" thickBot="1" x14ac:dyDescent="0.45">
      <c r="A344" s="40" t="s">
        <v>2810</v>
      </c>
      <c r="B344" s="3" t="s">
        <v>2811</v>
      </c>
      <c r="C344" s="3">
        <v>6198</v>
      </c>
      <c r="D344" s="23">
        <v>36112</v>
      </c>
      <c r="E344" s="3" t="s">
        <v>43</v>
      </c>
      <c r="F344" s="3" t="s">
        <v>1239</v>
      </c>
      <c r="G344" s="3">
        <v>1</v>
      </c>
      <c r="H344" s="3" t="s">
        <v>18</v>
      </c>
    </row>
    <row r="345" spans="1:8" ht="24" customHeight="1" thickTop="1" thickBot="1" x14ac:dyDescent="0.45">
      <c r="A345" s="40" t="s">
        <v>2812</v>
      </c>
      <c r="B345" s="3" t="s">
        <v>2813</v>
      </c>
      <c r="C345" s="3">
        <v>6131</v>
      </c>
      <c r="D345" s="23">
        <v>32719</v>
      </c>
      <c r="E345" s="3" t="s">
        <v>43</v>
      </c>
      <c r="F345" s="3" t="s">
        <v>1239</v>
      </c>
      <c r="G345" s="3">
        <v>1</v>
      </c>
      <c r="H345" s="3" t="s">
        <v>18</v>
      </c>
    </row>
    <row r="346" spans="1:8" ht="24" customHeight="1" thickTop="1" thickBot="1" x14ac:dyDescent="0.45">
      <c r="A346" s="40" t="s">
        <v>2814</v>
      </c>
      <c r="B346" s="3" t="s">
        <v>2815</v>
      </c>
      <c r="C346" s="3">
        <v>6215</v>
      </c>
      <c r="D346" s="23">
        <v>35959</v>
      </c>
      <c r="E346" s="3" t="s">
        <v>43</v>
      </c>
      <c r="F346" s="3" t="s">
        <v>6</v>
      </c>
      <c r="G346" s="3">
        <v>1</v>
      </c>
      <c r="H346" s="3" t="s">
        <v>18</v>
      </c>
    </row>
    <row r="347" spans="1:8" ht="24" customHeight="1" thickTop="1" thickBot="1" x14ac:dyDescent="0.45">
      <c r="A347" s="40" t="s">
        <v>2816</v>
      </c>
      <c r="B347" s="3" t="s">
        <v>2817</v>
      </c>
      <c r="C347" s="3">
        <v>6145</v>
      </c>
      <c r="D347" s="23">
        <v>35667</v>
      </c>
      <c r="E347" s="3" t="s">
        <v>43</v>
      </c>
      <c r="F347" s="3" t="s">
        <v>6</v>
      </c>
      <c r="G347" s="3">
        <v>1</v>
      </c>
      <c r="H347" s="3" t="s">
        <v>18</v>
      </c>
    </row>
    <row r="348" spans="1:8" ht="24" customHeight="1" thickTop="1" thickBot="1" x14ac:dyDescent="0.45">
      <c r="A348" s="40" t="s">
        <v>2818</v>
      </c>
      <c r="B348" s="3" t="s">
        <v>2819</v>
      </c>
      <c r="C348" s="3">
        <v>6130</v>
      </c>
      <c r="D348" s="23">
        <v>35361</v>
      </c>
      <c r="E348" s="3" t="s">
        <v>43</v>
      </c>
      <c r="F348" s="3" t="s">
        <v>6</v>
      </c>
      <c r="G348" s="3">
        <v>1</v>
      </c>
      <c r="H348" s="3" t="s">
        <v>18</v>
      </c>
    </row>
    <row r="349" spans="1:8" ht="24" customHeight="1" thickTop="1" thickBot="1" x14ac:dyDescent="0.45">
      <c r="A349" s="40" t="s">
        <v>2820</v>
      </c>
      <c r="B349" s="3" t="s">
        <v>2821</v>
      </c>
      <c r="C349" s="3">
        <v>6153</v>
      </c>
      <c r="D349" s="23">
        <v>34369</v>
      </c>
      <c r="E349" s="3" t="s">
        <v>43</v>
      </c>
      <c r="F349" s="3" t="s">
        <v>6</v>
      </c>
      <c r="G349" s="3">
        <v>1</v>
      </c>
      <c r="H349" s="3" t="s">
        <v>18</v>
      </c>
    </row>
    <row r="350" spans="1:8" ht="24" customHeight="1" thickTop="1" thickBot="1" x14ac:dyDescent="0.45">
      <c r="A350" s="40" t="s">
        <v>62</v>
      </c>
      <c r="B350" s="3" t="s">
        <v>2822</v>
      </c>
      <c r="C350" s="3">
        <v>6169</v>
      </c>
      <c r="D350" s="23">
        <v>35214</v>
      </c>
      <c r="E350" s="3" t="s">
        <v>43</v>
      </c>
      <c r="F350" s="3" t="s">
        <v>1238</v>
      </c>
      <c r="G350" s="3">
        <v>1</v>
      </c>
      <c r="H350" s="3" t="s">
        <v>18</v>
      </c>
    </row>
    <row r="351" spans="1:8" ht="24" customHeight="1" thickTop="1" thickBot="1" x14ac:dyDescent="0.45">
      <c r="A351" s="40" t="s">
        <v>2823</v>
      </c>
      <c r="B351" s="3" t="s">
        <v>2824</v>
      </c>
      <c r="C351" s="3">
        <v>6216</v>
      </c>
      <c r="D351" s="23">
        <v>34948</v>
      </c>
      <c r="E351" s="3" t="s">
        <v>43</v>
      </c>
      <c r="F351" s="3" t="s">
        <v>1238</v>
      </c>
      <c r="G351" s="3">
        <v>1</v>
      </c>
      <c r="H351" s="3" t="s">
        <v>18</v>
      </c>
    </row>
    <row r="352" spans="1:8" ht="24" customHeight="1" thickTop="1" thickBot="1" x14ac:dyDescent="0.45">
      <c r="A352" s="40" t="s">
        <v>2825</v>
      </c>
      <c r="B352" s="3" t="s">
        <v>2826</v>
      </c>
      <c r="C352" s="3">
        <v>6137</v>
      </c>
      <c r="D352" s="23">
        <v>34691</v>
      </c>
      <c r="E352" s="3" t="s">
        <v>43</v>
      </c>
      <c r="F352" s="3" t="s">
        <v>1239</v>
      </c>
      <c r="G352" s="3">
        <v>2</v>
      </c>
      <c r="H352" s="3" t="s">
        <v>18</v>
      </c>
    </row>
    <row r="353" spans="1:8" ht="24" customHeight="1" thickTop="1" thickBot="1" x14ac:dyDescent="0.45">
      <c r="A353" s="40" t="s">
        <v>2827</v>
      </c>
      <c r="B353" s="3" t="s">
        <v>2828</v>
      </c>
      <c r="C353" s="3">
        <v>6126</v>
      </c>
      <c r="D353" s="23">
        <v>33598</v>
      </c>
      <c r="E353" s="3" t="s">
        <v>43</v>
      </c>
      <c r="F353" s="3" t="s">
        <v>1239</v>
      </c>
      <c r="G353" s="3">
        <v>2</v>
      </c>
      <c r="H353" s="3" t="s">
        <v>18</v>
      </c>
    </row>
    <row r="354" spans="1:8" ht="24" customHeight="1" thickTop="1" thickBot="1" x14ac:dyDescent="0.45">
      <c r="A354" s="40" t="s">
        <v>2829</v>
      </c>
      <c r="B354" s="3" t="s">
        <v>2830</v>
      </c>
      <c r="C354" s="3">
        <v>6121</v>
      </c>
      <c r="D354" s="23">
        <v>32456</v>
      </c>
      <c r="E354" s="3" t="s">
        <v>43</v>
      </c>
      <c r="F354" s="3" t="s">
        <v>1239</v>
      </c>
      <c r="G354" s="3">
        <v>2</v>
      </c>
      <c r="H354" s="3" t="s">
        <v>18</v>
      </c>
    </row>
    <row r="355" spans="1:8" ht="24" customHeight="1" thickTop="1" thickBot="1" x14ac:dyDescent="0.45">
      <c r="A355" s="40" t="s">
        <v>2831</v>
      </c>
      <c r="B355" s="3" t="s">
        <v>2832</v>
      </c>
      <c r="C355" s="3">
        <v>6206</v>
      </c>
      <c r="D355" s="23">
        <v>35626</v>
      </c>
      <c r="E355" s="3" t="s">
        <v>43</v>
      </c>
      <c r="F355" s="3" t="s">
        <v>1239</v>
      </c>
      <c r="G355" s="3">
        <v>2</v>
      </c>
      <c r="H355" s="3" t="s">
        <v>18</v>
      </c>
    </row>
    <row r="356" spans="1:8" ht="24" customHeight="1" thickTop="1" thickBot="1" x14ac:dyDescent="0.45">
      <c r="A356" s="40" t="s">
        <v>2833</v>
      </c>
      <c r="B356" s="3" t="s">
        <v>2834</v>
      </c>
      <c r="C356" s="3">
        <v>6122</v>
      </c>
      <c r="D356" s="23">
        <v>35313</v>
      </c>
      <c r="E356" s="3" t="s">
        <v>43</v>
      </c>
      <c r="F356" s="3" t="s">
        <v>6</v>
      </c>
      <c r="G356" s="3">
        <v>2</v>
      </c>
      <c r="H356" s="3" t="s">
        <v>18</v>
      </c>
    </row>
    <row r="357" spans="1:8" ht="24" customHeight="1" thickTop="1" thickBot="1" x14ac:dyDescent="0.45">
      <c r="A357" s="40" t="s">
        <v>2835</v>
      </c>
      <c r="B357" s="3" t="s">
        <v>2836</v>
      </c>
      <c r="C357" s="3">
        <v>6278</v>
      </c>
      <c r="D357" s="23">
        <v>35068</v>
      </c>
      <c r="E357" s="3" t="s">
        <v>43</v>
      </c>
      <c r="F357" s="3" t="s">
        <v>6</v>
      </c>
      <c r="G357" s="3">
        <v>2</v>
      </c>
      <c r="H357" s="3" t="s">
        <v>18</v>
      </c>
    </row>
    <row r="358" spans="1:8" ht="24" customHeight="1" thickTop="1" thickBot="1" x14ac:dyDescent="0.45">
      <c r="A358" s="40" t="s">
        <v>2837</v>
      </c>
      <c r="B358" s="3" t="s">
        <v>2838</v>
      </c>
      <c r="C358" s="3">
        <v>6190</v>
      </c>
      <c r="D358" s="23">
        <v>33867</v>
      </c>
      <c r="E358" s="3" t="s">
        <v>43</v>
      </c>
      <c r="F358" s="3" t="s">
        <v>6</v>
      </c>
      <c r="G358" s="3">
        <v>2</v>
      </c>
      <c r="H358" s="3" t="s">
        <v>18</v>
      </c>
    </row>
    <row r="359" spans="1:8" ht="24" customHeight="1" thickTop="1" thickBot="1" x14ac:dyDescent="0.45">
      <c r="A359" s="40" t="s">
        <v>2839</v>
      </c>
      <c r="B359" s="3" t="s">
        <v>2840</v>
      </c>
      <c r="C359" s="3">
        <v>6233</v>
      </c>
      <c r="D359" s="23" t="s">
        <v>3749</v>
      </c>
      <c r="E359" s="3" t="s">
        <v>43</v>
      </c>
      <c r="F359" s="3" t="s">
        <v>6</v>
      </c>
      <c r="G359" s="3">
        <v>2</v>
      </c>
      <c r="H359" s="3" t="s">
        <v>18</v>
      </c>
    </row>
    <row r="360" spans="1:8" ht="24" customHeight="1" thickTop="1" thickBot="1" x14ac:dyDescent="0.45">
      <c r="A360" s="40" t="s">
        <v>2841</v>
      </c>
      <c r="B360" s="3" t="s">
        <v>2842</v>
      </c>
      <c r="C360" s="3">
        <v>6323</v>
      </c>
      <c r="D360" s="23" t="s">
        <v>3749</v>
      </c>
      <c r="E360" s="3" t="s">
        <v>43</v>
      </c>
      <c r="F360" s="3" t="s">
        <v>6</v>
      </c>
      <c r="G360" s="3">
        <v>2</v>
      </c>
      <c r="H360" s="3" t="s">
        <v>18</v>
      </c>
    </row>
    <row r="361" spans="1:8" ht="24" customHeight="1" thickTop="1" thickBot="1" x14ac:dyDescent="0.45">
      <c r="A361" s="40" t="s">
        <v>2843</v>
      </c>
      <c r="B361" s="3" t="s">
        <v>2844</v>
      </c>
      <c r="C361" s="3">
        <v>6207</v>
      </c>
      <c r="D361" s="23">
        <v>36098</v>
      </c>
      <c r="E361" s="3" t="s">
        <v>43</v>
      </c>
      <c r="F361" s="3" t="s">
        <v>6</v>
      </c>
      <c r="G361" s="3">
        <v>2</v>
      </c>
      <c r="H361" s="3" t="s">
        <v>18</v>
      </c>
    </row>
    <row r="362" spans="1:8" ht="24" customHeight="1" thickTop="1" thickBot="1" x14ac:dyDescent="0.45">
      <c r="A362" s="40" t="s">
        <v>2845</v>
      </c>
      <c r="B362" s="3" t="s">
        <v>1251</v>
      </c>
      <c r="C362" s="3">
        <v>6152</v>
      </c>
      <c r="D362" s="23">
        <v>33324</v>
      </c>
      <c r="E362" s="3" t="s">
        <v>43</v>
      </c>
      <c r="F362" s="3" t="s">
        <v>1238</v>
      </c>
      <c r="G362" s="3">
        <v>2</v>
      </c>
      <c r="H362" s="3" t="s">
        <v>18</v>
      </c>
    </row>
    <row r="363" spans="1:8" ht="24" customHeight="1" thickTop="1" thickBot="1" x14ac:dyDescent="0.45">
      <c r="A363" s="40" t="s">
        <v>2846</v>
      </c>
      <c r="B363" s="3" t="s">
        <v>2847</v>
      </c>
      <c r="C363" s="3">
        <v>6319</v>
      </c>
      <c r="D363" s="23" t="s">
        <v>3749</v>
      </c>
      <c r="E363" s="3" t="s">
        <v>43</v>
      </c>
      <c r="F363" s="3" t="s">
        <v>1238</v>
      </c>
      <c r="G363" s="3">
        <v>2</v>
      </c>
      <c r="H363" s="3" t="s">
        <v>18</v>
      </c>
    </row>
    <row r="364" spans="1:8" ht="24" customHeight="1" thickTop="1" thickBot="1" x14ac:dyDescent="0.45">
      <c r="A364" s="40" t="s">
        <v>2848</v>
      </c>
      <c r="B364" s="3" t="s">
        <v>2849</v>
      </c>
      <c r="C364" s="3">
        <v>6271</v>
      </c>
      <c r="D364" s="23">
        <v>34156</v>
      </c>
      <c r="E364" s="3" t="s">
        <v>43</v>
      </c>
      <c r="F364" s="3" t="s">
        <v>1238</v>
      </c>
      <c r="G364" s="3">
        <v>2</v>
      </c>
      <c r="H364" s="3" t="s">
        <v>18</v>
      </c>
    </row>
    <row r="365" spans="1:8" ht="24" customHeight="1" thickTop="1" thickBot="1" x14ac:dyDescent="0.45">
      <c r="A365" s="40" t="s">
        <v>2850</v>
      </c>
      <c r="B365" s="3" t="s">
        <v>1427</v>
      </c>
      <c r="C365" s="3">
        <v>6395</v>
      </c>
      <c r="D365" s="23" t="s">
        <v>3749</v>
      </c>
      <c r="E365" s="3" t="s">
        <v>43</v>
      </c>
      <c r="F365" s="3" t="s">
        <v>1239</v>
      </c>
      <c r="G365" s="3">
        <v>3</v>
      </c>
      <c r="H365" s="3" t="s">
        <v>18</v>
      </c>
    </row>
    <row r="366" spans="1:8" ht="24" customHeight="1" thickTop="1" thickBot="1" x14ac:dyDescent="0.45">
      <c r="A366" s="40" t="s">
        <v>2851</v>
      </c>
      <c r="B366" s="3" t="s">
        <v>2852</v>
      </c>
      <c r="C366" s="3">
        <v>6266</v>
      </c>
      <c r="D366" s="23">
        <v>33350</v>
      </c>
      <c r="E366" s="3" t="s">
        <v>43</v>
      </c>
      <c r="F366" s="3" t="s">
        <v>1239</v>
      </c>
      <c r="G366" s="3">
        <v>3</v>
      </c>
      <c r="H366" s="3" t="s">
        <v>18</v>
      </c>
    </row>
    <row r="367" spans="1:8" ht="24" customHeight="1" thickTop="1" thickBot="1" x14ac:dyDescent="0.45">
      <c r="A367" s="40" t="s">
        <v>2853</v>
      </c>
      <c r="B367" s="3" t="s">
        <v>2854</v>
      </c>
      <c r="C367" s="3">
        <v>6304</v>
      </c>
      <c r="D367" s="23">
        <v>34685</v>
      </c>
      <c r="E367" s="3" t="s">
        <v>43</v>
      </c>
      <c r="F367" s="3" t="s">
        <v>1239</v>
      </c>
      <c r="G367" s="3">
        <v>3</v>
      </c>
      <c r="H367" s="3" t="s">
        <v>18</v>
      </c>
    </row>
    <row r="368" spans="1:8" ht="24" customHeight="1" thickTop="1" thickBot="1" x14ac:dyDescent="0.45">
      <c r="A368" s="40" t="s">
        <v>2855</v>
      </c>
      <c r="B368" s="3" t="s">
        <v>2856</v>
      </c>
      <c r="C368" s="3">
        <v>6329</v>
      </c>
      <c r="D368" s="23" t="s">
        <v>3749</v>
      </c>
      <c r="E368" s="3" t="s">
        <v>43</v>
      </c>
      <c r="F368" s="3" t="s">
        <v>1239</v>
      </c>
      <c r="G368" s="3">
        <v>3</v>
      </c>
      <c r="H368" s="3" t="s">
        <v>18</v>
      </c>
    </row>
    <row r="369" spans="1:8" ht="24" customHeight="1" thickTop="1" thickBot="1" x14ac:dyDescent="0.45">
      <c r="A369" s="40" t="s">
        <v>2857</v>
      </c>
      <c r="B369" s="3" t="s">
        <v>2858</v>
      </c>
      <c r="C369" s="3">
        <v>6132</v>
      </c>
      <c r="D369" s="23">
        <v>32547</v>
      </c>
      <c r="E369" s="3" t="s">
        <v>43</v>
      </c>
      <c r="F369" s="3" t="s">
        <v>6</v>
      </c>
      <c r="G369" s="3">
        <v>3</v>
      </c>
      <c r="H369" s="3" t="s">
        <v>18</v>
      </c>
    </row>
    <row r="370" spans="1:8" ht="24" customHeight="1" thickTop="1" thickBot="1" x14ac:dyDescent="0.45">
      <c r="A370" s="40" t="s">
        <v>2859</v>
      </c>
      <c r="B370" s="3" t="s">
        <v>2860</v>
      </c>
      <c r="C370" s="3">
        <v>6258</v>
      </c>
      <c r="D370" s="23" t="s">
        <v>3749</v>
      </c>
      <c r="E370" s="3" t="s">
        <v>43</v>
      </c>
      <c r="F370" s="3" t="s">
        <v>6</v>
      </c>
      <c r="G370" s="3">
        <v>3</v>
      </c>
      <c r="H370" s="3" t="s">
        <v>18</v>
      </c>
    </row>
    <row r="371" spans="1:8" ht="24" customHeight="1" thickTop="1" thickBot="1" x14ac:dyDescent="0.45">
      <c r="A371" s="40" t="s">
        <v>2861</v>
      </c>
      <c r="B371" s="3" t="s">
        <v>2862</v>
      </c>
      <c r="C371" s="3">
        <v>6154</v>
      </c>
      <c r="D371" s="23">
        <v>34506</v>
      </c>
      <c r="E371" s="3" t="s">
        <v>43</v>
      </c>
      <c r="F371" s="3" t="s">
        <v>6</v>
      </c>
      <c r="G371" s="3">
        <v>3</v>
      </c>
      <c r="H371" s="3" t="s">
        <v>18</v>
      </c>
    </row>
    <row r="372" spans="1:8" ht="24" customHeight="1" thickTop="1" thickBot="1" x14ac:dyDescent="0.45">
      <c r="A372" s="40" t="s">
        <v>2863</v>
      </c>
      <c r="B372" s="3" t="s">
        <v>2864</v>
      </c>
      <c r="C372" s="3">
        <v>6256</v>
      </c>
      <c r="D372" s="23">
        <v>37493</v>
      </c>
      <c r="E372" s="3" t="s">
        <v>43</v>
      </c>
      <c r="F372" s="3" t="s">
        <v>6</v>
      </c>
      <c r="G372" s="3">
        <v>3</v>
      </c>
      <c r="H372" s="3" t="s">
        <v>18</v>
      </c>
    </row>
    <row r="373" spans="1:8" ht="24" customHeight="1" thickTop="1" thickBot="1" x14ac:dyDescent="0.45">
      <c r="A373" s="40" t="s">
        <v>2865</v>
      </c>
      <c r="B373" s="3" t="s">
        <v>2866</v>
      </c>
      <c r="C373" s="3">
        <v>6178</v>
      </c>
      <c r="D373" s="23">
        <v>34474</v>
      </c>
      <c r="E373" s="3" t="s">
        <v>43</v>
      </c>
      <c r="F373" s="3" t="s">
        <v>6</v>
      </c>
      <c r="G373" s="3">
        <v>3</v>
      </c>
      <c r="H373" s="3" t="s">
        <v>18</v>
      </c>
    </row>
    <row r="374" spans="1:8" ht="24" customHeight="1" thickTop="1" thickBot="1" x14ac:dyDescent="0.45">
      <c r="A374" s="40" t="s">
        <v>2867</v>
      </c>
      <c r="B374" s="3" t="s">
        <v>2868</v>
      </c>
      <c r="C374" s="3">
        <v>6291</v>
      </c>
      <c r="D374" s="23" t="s">
        <v>3749</v>
      </c>
      <c r="E374" s="3" t="s">
        <v>43</v>
      </c>
      <c r="F374" s="3" t="s">
        <v>1238</v>
      </c>
      <c r="G374" s="3">
        <v>3</v>
      </c>
      <c r="H374" s="3" t="s">
        <v>18</v>
      </c>
    </row>
    <row r="375" spans="1:8" ht="24" customHeight="1" thickTop="1" thickBot="1" x14ac:dyDescent="0.45">
      <c r="A375" s="40" t="s">
        <v>2869</v>
      </c>
      <c r="B375" s="3" t="s">
        <v>2870</v>
      </c>
      <c r="C375" s="3">
        <v>6217</v>
      </c>
      <c r="D375" s="23">
        <v>35053</v>
      </c>
      <c r="E375" s="3" t="s">
        <v>43</v>
      </c>
      <c r="F375" s="3" t="s">
        <v>1238</v>
      </c>
      <c r="G375" s="3">
        <v>3</v>
      </c>
      <c r="H375" s="3" t="s">
        <v>18</v>
      </c>
    </row>
    <row r="376" spans="1:8" ht="24" customHeight="1" thickTop="1" thickBot="1" x14ac:dyDescent="0.45">
      <c r="A376" s="40" t="s">
        <v>2871</v>
      </c>
      <c r="B376" s="3" t="s">
        <v>2872</v>
      </c>
      <c r="C376" s="3">
        <v>6238</v>
      </c>
      <c r="D376" s="23" t="s">
        <v>3749</v>
      </c>
      <c r="E376" s="3" t="s">
        <v>43</v>
      </c>
      <c r="F376" s="3" t="s">
        <v>1238</v>
      </c>
      <c r="G376" s="3">
        <v>3</v>
      </c>
      <c r="H376" s="3" t="s">
        <v>18</v>
      </c>
    </row>
    <row r="377" spans="1:8" ht="24" customHeight="1" thickTop="1" thickBot="1" x14ac:dyDescent="0.45">
      <c r="A377" s="40" t="s">
        <v>2873</v>
      </c>
      <c r="B377" s="3" t="s">
        <v>2874</v>
      </c>
      <c r="C377" s="3">
        <v>6376</v>
      </c>
      <c r="D377" s="23" t="s">
        <v>3749</v>
      </c>
      <c r="E377" s="3" t="s">
        <v>43</v>
      </c>
      <c r="F377" s="3" t="s">
        <v>1238</v>
      </c>
      <c r="G377" s="3">
        <v>3</v>
      </c>
      <c r="H377" s="3" t="s">
        <v>18</v>
      </c>
    </row>
    <row r="378" spans="1:8" ht="24" customHeight="1" thickTop="1" thickBot="1" x14ac:dyDescent="0.45">
      <c r="A378" s="40" t="s">
        <v>2875</v>
      </c>
      <c r="B378" s="3" t="s">
        <v>2876</v>
      </c>
      <c r="C378" s="3">
        <v>6158</v>
      </c>
      <c r="D378" s="23">
        <v>34792</v>
      </c>
      <c r="E378" s="3" t="s">
        <v>43</v>
      </c>
      <c r="F378" s="3" t="s">
        <v>1239</v>
      </c>
      <c r="G378" s="3">
        <v>4</v>
      </c>
      <c r="H378" s="3" t="s">
        <v>18</v>
      </c>
    </row>
    <row r="379" spans="1:8" ht="24" customHeight="1" thickTop="1" thickBot="1" x14ac:dyDescent="0.45">
      <c r="A379" s="40" t="s">
        <v>2877</v>
      </c>
      <c r="B379" s="3" t="s">
        <v>1245</v>
      </c>
      <c r="C379" s="3">
        <v>6129</v>
      </c>
      <c r="D379" s="23">
        <v>33117</v>
      </c>
      <c r="E379" s="3" t="s">
        <v>43</v>
      </c>
      <c r="F379" s="3" t="s">
        <v>1239</v>
      </c>
      <c r="G379" s="3">
        <v>4</v>
      </c>
      <c r="H379" s="3" t="s">
        <v>18</v>
      </c>
    </row>
    <row r="380" spans="1:8" ht="24" customHeight="1" thickTop="1" thickBot="1" x14ac:dyDescent="0.45">
      <c r="A380" s="40" t="s">
        <v>2878</v>
      </c>
      <c r="B380" s="3" t="s">
        <v>2879</v>
      </c>
      <c r="C380" s="3">
        <v>6219</v>
      </c>
      <c r="D380" s="23">
        <v>34233</v>
      </c>
      <c r="E380" s="3" t="s">
        <v>43</v>
      </c>
      <c r="F380" s="3" t="s">
        <v>1239</v>
      </c>
      <c r="G380" s="3">
        <v>4</v>
      </c>
      <c r="H380" s="3" t="s">
        <v>18</v>
      </c>
    </row>
    <row r="381" spans="1:8" ht="24" customHeight="1" thickTop="1" thickBot="1" x14ac:dyDescent="0.45">
      <c r="A381" s="40" t="s">
        <v>2880</v>
      </c>
      <c r="B381" s="3" t="s">
        <v>2881</v>
      </c>
      <c r="C381" s="3">
        <v>6261</v>
      </c>
      <c r="D381" s="23">
        <v>34947</v>
      </c>
      <c r="E381" s="3" t="s">
        <v>43</v>
      </c>
      <c r="F381" s="3" t="s">
        <v>6</v>
      </c>
      <c r="G381" s="3">
        <v>4</v>
      </c>
      <c r="H381" s="3" t="s">
        <v>18</v>
      </c>
    </row>
    <row r="382" spans="1:8" ht="24" customHeight="1" thickTop="1" thickBot="1" x14ac:dyDescent="0.45">
      <c r="A382" s="40" t="s">
        <v>2882</v>
      </c>
      <c r="B382" s="3" t="s">
        <v>2883</v>
      </c>
      <c r="C382" s="3">
        <v>6236</v>
      </c>
      <c r="D382" s="23">
        <v>36664</v>
      </c>
      <c r="E382" s="3" t="s">
        <v>43</v>
      </c>
      <c r="F382" s="3" t="s">
        <v>6</v>
      </c>
      <c r="G382" s="3">
        <v>4</v>
      </c>
      <c r="H382" s="3" t="s">
        <v>18</v>
      </c>
    </row>
    <row r="383" spans="1:8" ht="24" customHeight="1" thickTop="1" thickBot="1" x14ac:dyDescent="0.45">
      <c r="A383" s="40" t="s">
        <v>2884</v>
      </c>
      <c r="B383" s="3" t="s">
        <v>2885</v>
      </c>
      <c r="C383" s="3">
        <v>6159</v>
      </c>
      <c r="D383" s="23">
        <v>34880</v>
      </c>
      <c r="E383" s="3" t="s">
        <v>43</v>
      </c>
      <c r="F383" s="3" t="s">
        <v>1238</v>
      </c>
      <c r="G383" s="3">
        <v>4</v>
      </c>
      <c r="H383" s="3" t="s">
        <v>18</v>
      </c>
    </row>
    <row r="384" spans="1:8" ht="24" customHeight="1" thickTop="1" thickBot="1" x14ac:dyDescent="0.45">
      <c r="A384" s="40" t="s">
        <v>2886</v>
      </c>
      <c r="B384" s="3" t="s">
        <v>2887</v>
      </c>
      <c r="C384" s="3">
        <v>6338</v>
      </c>
      <c r="D384" s="23">
        <v>34604</v>
      </c>
      <c r="E384" s="3" t="s">
        <v>43</v>
      </c>
      <c r="F384" s="3" t="s">
        <v>1239</v>
      </c>
      <c r="G384" s="3">
        <v>5</v>
      </c>
      <c r="H384" s="3" t="s">
        <v>18</v>
      </c>
    </row>
    <row r="385" spans="1:8" ht="24" customHeight="1" thickTop="1" thickBot="1" x14ac:dyDescent="0.45">
      <c r="A385" s="40" t="s">
        <v>2888</v>
      </c>
      <c r="B385" s="3" t="s">
        <v>2889</v>
      </c>
      <c r="C385" s="3">
        <v>6170</v>
      </c>
      <c r="D385" s="23">
        <v>32583</v>
      </c>
      <c r="E385" s="3" t="s">
        <v>43</v>
      </c>
      <c r="F385" s="3" t="s">
        <v>1239</v>
      </c>
      <c r="G385" s="3">
        <v>5</v>
      </c>
      <c r="H385" s="3" t="s">
        <v>18</v>
      </c>
    </row>
    <row r="386" spans="1:8" ht="24" customHeight="1" thickTop="1" thickBot="1" x14ac:dyDescent="0.45">
      <c r="A386" s="40" t="s">
        <v>2890</v>
      </c>
      <c r="B386" s="3" t="s">
        <v>2891</v>
      </c>
      <c r="C386" s="3">
        <v>6447</v>
      </c>
      <c r="D386" s="23">
        <v>35911</v>
      </c>
      <c r="E386" s="3" t="s">
        <v>43</v>
      </c>
      <c r="F386" s="3" t="s">
        <v>6</v>
      </c>
      <c r="G386" s="3">
        <v>5</v>
      </c>
      <c r="H386" s="3" t="s">
        <v>18</v>
      </c>
    </row>
    <row r="387" spans="1:8" ht="24" customHeight="1" thickTop="1" thickBot="1" x14ac:dyDescent="0.45">
      <c r="A387" s="40" t="s">
        <v>2892</v>
      </c>
      <c r="B387" s="3" t="s">
        <v>2893</v>
      </c>
      <c r="C387" s="3">
        <v>6391</v>
      </c>
      <c r="D387" s="23">
        <v>34733</v>
      </c>
      <c r="E387" s="3" t="s">
        <v>43</v>
      </c>
      <c r="F387" s="3" t="s">
        <v>1238</v>
      </c>
      <c r="G387" s="3">
        <v>5</v>
      </c>
      <c r="H387" s="3" t="s">
        <v>18</v>
      </c>
    </row>
    <row r="388" spans="1:8" ht="24" customHeight="1" thickTop="1" thickBot="1" x14ac:dyDescent="0.45">
      <c r="A388" s="40" t="s">
        <v>2894</v>
      </c>
      <c r="B388" s="3" t="s">
        <v>2895</v>
      </c>
      <c r="C388" s="3">
        <v>6307</v>
      </c>
      <c r="D388" s="23" t="s">
        <v>3749</v>
      </c>
      <c r="E388" s="3" t="s">
        <v>43</v>
      </c>
      <c r="F388" s="3" t="s">
        <v>1238</v>
      </c>
      <c r="G388" s="3">
        <v>5</v>
      </c>
      <c r="H388" s="3" t="s">
        <v>18</v>
      </c>
    </row>
    <row r="389" spans="1:8" ht="24" customHeight="1" thickTop="1" thickBot="1" x14ac:dyDescent="0.45">
      <c r="A389" s="40" t="s">
        <v>2896</v>
      </c>
      <c r="B389" s="3" t="s">
        <v>2897</v>
      </c>
      <c r="C389" s="3">
        <v>6404</v>
      </c>
      <c r="D389" s="23" t="s">
        <v>3749</v>
      </c>
      <c r="E389" s="3" t="s">
        <v>43</v>
      </c>
      <c r="F389" s="3" t="s">
        <v>1239</v>
      </c>
      <c r="G389" s="3">
        <v>6</v>
      </c>
      <c r="H389" s="3" t="s">
        <v>18</v>
      </c>
    </row>
    <row r="390" spans="1:8" ht="24" customHeight="1" thickTop="1" thickBot="1" x14ac:dyDescent="0.45">
      <c r="A390" s="40" t="s">
        <v>2898</v>
      </c>
      <c r="B390" s="3" t="s">
        <v>2899</v>
      </c>
      <c r="C390" s="3">
        <v>6248</v>
      </c>
      <c r="D390" s="23" t="s">
        <v>3749</v>
      </c>
      <c r="E390" s="3" t="s">
        <v>43</v>
      </c>
      <c r="F390" s="3" t="s">
        <v>1239</v>
      </c>
      <c r="G390" s="3">
        <v>6</v>
      </c>
      <c r="H390" s="3" t="s">
        <v>18</v>
      </c>
    </row>
    <row r="391" spans="1:8" ht="24" customHeight="1" thickTop="1" thickBot="1" x14ac:dyDescent="0.45">
      <c r="A391" s="40" t="s">
        <v>53</v>
      </c>
      <c r="B391" s="3" t="s">
        <v>2900</v>
      </c>
      <c r="C391" s="3">
        <v>6354</v>
      </c>
      <c r="D391" s="23">
        <v>30789</v>
      </c>
      <c r="E391" s="3" t="s">
        <v>43</v>
      </c>
      <c r="F391" s="3" t="s">
        <v>6</v>
      </c>
      <c r="G391" s="3">
        <v>6</v>
      </c>
      <c r="H391" s="3" t="s">
        <v>18</v>
      </c>
    </row>
    <row r="392" spans="1:8" ht="24" customHeight="1" thickTop="1" thickBot="1" x14ac:dyDescent="0.45">
      <c r="A392" s="40" t="s">
        <v>2901</v>
      </c>
      <c r="B392" s="3" t="s">
        <v>1250</v>
      </c>
      <c r="C392" s="3">
        <v>6195</v>
      </c>
      <c r="D392" s="23">
        <v>34117</v>
      </c>
      <c r="E392" s="3" t="s">
        <v>43</v>
      </c>
      <c r="F392" s="3" t="s">
        <v>6</v>
      </c>
      <c r="G392" s="3">
        <v>6</v>
      </c>
      <c r="H392" s="3" t="s">
        <v>18</v>
      </c>
    </row>
    <row r="393" spans="1:8" ht="24" customHeight="1" thickTop="1" thickBot="1" x14ac:dyDescent="0.45">
      <c r="A393" s="40" t="s">
        <v>2902</v>
      </c>
      <c r="B393" s="3" t="s">
        <v>2903</v>
      </c>
      <c r="C393" s="3">
        <v>6396</v>
      </c>
      <c r="D393" s="23" t="s">
        <v>3749</v>
      </c>
      <c r="E393" s="3" t="s">
        <v>43</v>
      </c>
      <c r="F393" s="3" t="s">
        <v>1238</v>
      </c>
      <c r="G393" s="3">
        <v>6</v>
      </c>
      <c r="H393" s="3" t="s">
        <v>18</v>
      </c>
    </row>
    <row r="394" spans="1:8" ht="24" customHeight="1" thickTop="1" thickBot="1" x14ac:dyDescent="0.45">
      <c r="A394" s="40" t="s">
        <v>2904</v>
      </c>
      <c r="B394" s="3" t="s">
        <v>2905</v>
      </c>
      <c r="C394" s="3">
        <v>6446</v>
      </c>
      <c r="D394" s="23">
        <v>33422</v>
      </c>
      <c r="E394" s="3" t="s">
        <v>43</v>
      </c>
      <c r="F394" s="3" t="s">
        <v>1238</v>
      </c>
      <c r="G394" s="3">
        <v>6</v>
      </c>
      <c r="H394" s="3" t="s">
        <v>18</v>
      </c>
    </row>
    <row r="395" spans="1:8" ht="24" customHeight="1" thickTop="1" thickBot="1" x14ac:dyDescent="0.45">
      <c r="A395" s="40" t="s">
        <v>2906</v>
      </c>
      <c r="B395" s="3" t="s">
        <v>2907</v>
      </c>
      <c r="C395" s="3">
        <v>6407</v>
      </c>
      <c r="D395" s="23" t="s">
        <v>3749</v>
      </c>
      <c r="E395" s="3" t="s">
        <v>43</v>
      </c>
      <c r="F395" s="3" t="s">
        <v>1239</v>
      </c>
      <c r="G395" s="3">
        <v>7</v>
      </c>
      <c r="H395" s="3" t="s">
        <v>18</v>
      </c>
    </row>
    <row r="396" spans="1:8" ht="24" customHeight="1" thickTop="1" thickBot="1" x14ac:dyDescent="0.45">
      <c r="A396" s="40" t="s">
        <v>2908</v>
      </c>
      <c r="B396" s="3" t="s">
        <v>1247</v>
      </c>
      <c r="C396" s="3">
        <v>6220</v>
      </c>
      <c r="D396" s="23">
        <v>34171</v>
      </c>
      <c r="E396" s="3" t="s">
        <v>43</v>
      </c>
      <c r="F396" s="3" t="s">
        <v>1239</v>
      </c>
      <c r="G396" s="3">
        <v>7</v>
      </c>
      <c r="H396" s="3" t="s">
        <v>18</v>
      </c>
    </row>
    <row r="397" spans="1:8" ht="24" customHeight="1" thickTop="1" thickBot="1" x14ac:dyDescent="0.45">
      <c r="A397" s="40" t="s">
        <v>2909</v>
      </c>
      <c r="B397" s="3" t="s">
        <v>2910</v>
      </c>
      <c r="C397" s="3">
        <v>6138</v>
      </c>
      <c r="D397" s="23">
        <v>33541</v>
      </c>
      <c r="E397" s="3" t="s">
        <v>43</v>
      </c>
      <c r="F397" s="3" t="s">
        <v>1239</v>
      </c>
      <c r="G397" s="3">
        <v>7</v>
      </c>
      <c r="H397" s="3" t="s">
        <v>18</v>
      </c>
    </row>
    <row r="398" spans="1:8" ht="24" customHeight="1" thickTop="1" thickBot="1" x14ac:dyDescent="0.45">
      <c r="A398" s="40" t="s">
        <v>2911</v>
      </c>
      <c r="B398" s="3" t="s">
        <v>2912</v>
      </c>
      <c r="C398" s="3">
        <v>6425</v>
      </c>
      <c r="D398" s="23">
        <v>32077</v>
      </c>
      <c r="E398" s="3" t="s">
        <v>43</v>
      </c>
      <c r="F398" s="3" t="s">
        <v>1239</v>
      </c>
      <c r="G398" s="3">
        <v>7</v>
      </c>
      <c r="H398" s="3" t="s">
        <v>18</v>
      </c>
    </row>
    <row r="399" spans="1:8" ht="24" customHeight="1" thickTop="1" thickBot="1" x14ac:dyDescent="0.45">
      <c r="A399" s="40" t="s">
        <v>2913</v>
      </c>
      <c r="B399" s="3" t="s">
        <v>2914</v>
      </c>
      <c r="C399" s="3">
        <v>6281</v>
      </c>
      <c r="D399" s="23">
        <v>33567</v>
      </c>
      <c r="E399" s="3" t="s">
        <v>43</v>
      </c>
      <c r="F399" s="3" t="s">
        <v>6</v>
      </c>
      <c r="G399" s="3">
        <v>7</v>
      </c>
      <c r="H399" s="3" t="s">
        <v>18</v>
      </c>
    </row>
    <row r="400" spans="1:8" ht="24" customHeight="1" thickTop="1" thickBot="1" x14ac:dyDescent="0.45">
      <c r="A400" s="40" t="s">
        <v>100</v>
      </c>
      <c r="B400" s="3" t="s">
        <v>1249</v>
      </c>
      <c r="C400" s="3">
        <v>6310</v>
      </c>
      <c r="D400" s="23">
        <v>32881</v>
      </c>
      <c r="E400" s="3" t="s">
        <v>43</v>
      </c>
      <c r="F400" s="3" t="s">
        <v>6</v>
      </c>
      <c r="G400" s="3">
        <v>7</v>
      </c>
      <c r="H400" s="3" t="s">
        <v>18</v>
      </c>
    </row>
    <row r="401" spans="1:14" ht="24" customHeight="1" thickTop="1" thickBot="1" x14ac:dyDescent="0.45">
      <c r="A401" s="40" t="s">
        <v>2915</v>
      </c>
      <c r="B401" s="3" t="s">
        <v>2916</v>
      </c>
      <c r="C401" s="3">
        <v>6188</v>
      </c>
      <c r="D401" s="23">
        <v>29931</v>
      </c>
      <c r="E401" s="3" t="s">
        <v>43</v>
      </c>
      <c r="F401" s="3" t="s">
        <v>6</v>
      </c>
      <c r="G401" s="3">
        <v>7</v>
      </c>
      <c r="H401" s="3" t="s">
        <v>18</v>
      </c>
    </row>
    <row r="402" spans="1:14" ht="24" customHeight="1" thickTop="1" thickBot="1" x14ac:dyDescent="0.45">
      <c r="A402" s="40" t="s">
        <v>2917</v>
      </c>
      <c r="B402" s="3" t="s">
        <v>2918</v>
      </c>
      <c r="C402" s="3">
        <v>6408</v>
      </c>
      <c r="D402" s="23">
        <v>29305</v>
      </c>
      <c r="E402" s="3" t="s">
        <v>43</v>
      </c>
      <c r="F402" s="3" t="s">
        <v>1238</v>
      </c>
      <c r="G402" s="3">
        <v>7</v>
      </c>
      <c r="H402" s="3" t="s">
        <v>18</v>
      </c>
    </row>
    <row r="403" spans="1:14" ht="24" customHeight="1" thickTop="1" thickBot="1" x14ac:dyDescent="0.45">
      <c r="A403" s="40" t="s">
        <v>2919</v>
      </c>
      <c r="B403" s="3" t="s">
        <v>2920</v>
      </c>
      <c r="C403" s="3">
        <v>6429</v>
      </c>
      <c r="D403" s="23">
        <v>35831</v>
      </c>
      <c r="E403" s="3" t="s">
        <v>43</v>
      </c>
      <c r="F403" s="3" t="s">
        <v>1238</v>
      </c>
      <c r="G403" s="3">
        <v>7</v>
      </c>
      <c r="H403" s="3" t="s">
        <v>18</v>
      </c>
    </row>
    <row r="404" spans="1:14" ht="24" customHeight="1" thickTop="1" thickBot="1" x14ac:dyDescent="0.45">
      <c r="A404" s="40" t="s">
        <v>129</v>
      </c>
      <c r="B404" s="3" t="s">
        <v>2921</v>
      </c>
      <c r="C404" s="3">
        <v>6403</v>
      </c>
      <c r="D404" s="23">
        <v>35148</v>
      </c>
      <c r="E404" s="3" t="s">
        <v>43</v>
      </c>
      <c r="F404" s="3" t="s">
        <v>1238</v>
      </c>
      <c r="G404" s="3">
        <v>7</v>
      </c>
      <c r="H404" s="3" t="s">
        <v>18</v>
      </c>
    </row>
    <row r="405" spans="1:14" ht="24" customHeight="1" thickTop="1" thickBot="1" x14ac:dyDescent="0.45">
      <c r="A405" s="40" t="s">
        <v>2922</v>
      </c>
      <c r="B405" s="3" t="s">
        <v>2923</v>
      </c>
      <c r="C405" s="3">
        <v>6133</v>
      </c>
      <c r="D405" s="23">
        <v>32022</v>
      </c>
      <c r="E405" s="3" t="s">
        <v>43</v>
      </c>
      <c r="F405" s="3" t="s">
        <v>1238</v>
      </c>
      <c r="G405" s="3">
        <v>7</v>
      </c>
      <c r="H405" s="3" t="s">
        <v>18</v>
      </c>
    </row>
    <row r="406" spans="1:14" ht="24" customHeight="1" thickTop="1" thickBot="1" x14ac:dyDescent="0.45">
      <c r="A406" s="40" t="s">
        <v>2924</v>
      </c>
      <c r="B406" s="3" t="s">
        <v>2925</v>
      </c>
      <c r="C406" s="3">
        <v>6339</v>
      </c>
      <c r="D406" s="23">
        <v>31277</v>
      </c>
      <c r="E406" s="3" t="s">
        <v>43</v>
      </c>
      <c r="F406" s="3" t="s">
        <v>1238</v>
      </c>
      <c r="G406" s="3">
        <v>7</v>
      </c>
      <c r="H406" s="3" t="s">
        <v>18</v>
      </c>
    </row>
    <row r="407" spans="1:14" ht="24" customHeight="1" thickTop="1" thickBot="1" x14ac:dyDescent="0.45">
      <c r="A407" s="40" t="s">
        <v>2926</v>
      </c>
      <c r="B407" s="3" t="s">
        <v>2927</v>
      </c>
      <c r="C407" s="3">
        <v>6259</v>
      </c>
      <c r="D407" s="23">
        <v>34837</v>
      </c>
      <c r="E407" s="3" t="s">
        <v>43</v>
      </c>
      <c r="F407" s="3" t="s">
        <v>1239</v>
      </c>
      <c r="G407" s="3">
        <v>8</v>
      </c>
      <c r="H407" s="3" t="s">
        <v>18</v>
      </c>
      <c r="N407" s="23">
        <v>46124</v>
      </c>
    </row>
    <row r="408" spans="1:14" ht="24" customHeight="1" thickTop="1" thickBot="1" x14ac:dyDescent="0.45">
      <c r="A408" s="40" t="s">
        <v>2928</v>
      </c>
      <c r="B408" s="3" t="s">
        <v>2929</v>
      </c>
      <c r="C408" s="3">
        <v>6474</v>
      </c>
      <c r="D408" s="23">
        <v>33104</v>
      </c>
      <c r="E408" s="3" t="s">
        <v>43</v>
      </c>
      <c r="F408" s="3" t="s">
        <v>6</v>
      </c>
      <c r="G408" s="3">
        <v>8</v>
      </c>
      <c r="H408" s="3" t="s">
        <v>18</v>
      </c>
    </row>
    <row r="409" spans="1:14" ht="24" customHeight="1" thickTop="1" thickBot="1" x14ac:dyDescent="0.45">
      <c r="A409" s="40" t="s">
        <v>2930</v>
      </c>
      <c r="B409" s="3" t="s">
        <v>2931</v>
      </c>
      <c r="C409" s="3">
        <v>6139</v>
      </c>
      <c r="D409" s="23">
        <v>35109</v>
      </c>
      <c r="E409" s="3" t="s">
        <v>43</v>
      </c>
      <c r="F409" s="3" t="s">
        <v>6</v>
      </c>
      <c r="G409" s="3">
        <v>8</v>
      </c>
      <c r="H409" s="3" t="s">
        <v>18</v>
      </c>
    </row>
    <row r="410" spans="1:14" ht="24" customHeight="1" thickTop="1" thickBot="1" x14ac:dyDescent="0.45">
      <c r="A410" s="40" t="s">
        <v>107</v>
      </c>
      <c r="B410" s="3" t="s">
        <v>1246</v>
      </c>
      <c r="C410" s="3">
        <v>6251</v>
      </c>
      <c r="D410" s="23">
        <v>32618</v>
      </c>
      <c r="E410" s="3" t="s">
        <v>43</v>
      </c>
      <c r="F410" s="3" t="s">
        <v>6</v>
      </c>
      <c r="G410" s="3">
        <v>8</v>
      </c>
      <c r="H410" s="3" t="s">
        <v>18</v>
      </c>
    </row>
    <row r="411" spans="1:14" ht="24" customHeight="1" thickTop="1" thickBot="1" x14ac:dyDescent="0.45">
      <c r="A411" s="40" t="s">
        <v>2932</v>
      </c>
      <c r="B411" s="3" t="s">
        <v>2933</v>
      </c>
      <c r="C411" s="3">
        <v>6471</v>
      </c>
      <c r="D411" s="23">
        <v>30715</v>
      </c>
      <c r="E411" s="3" t="s">
        <v>43</v>
      </c>
      <c r="F411" s="3" t="s">
        <v>1238</v>
      </c>
      <c r="G411" s="3">
        <v>8</v>
      </c>
      <c r="H411" s="3" t="s">
        <v>18</v>
      </c>
      <c r="N411" s="23">
        <v>46103</v>
      </c>
    </row>
    <row r="412" spans="1:14" ht="24" customHeight="1" thickTop="1" thickBot="1" x14ac:dyDescent="0.45">
      <c r="A412" s="40" t="s">
        <v>2934</v>
      </c>
      <c r="B412" s="3" t="s">
        <v>2935</v>
      </c>
      <c r="C412" s="3">
        <v>168</v>
      </c>
      <c r="D412" s="23" t="s">
        <v>3749</v>
      </c>
      <c r="E412" s="3" t="s">
        <v>43</v>
      </c>
      <c r="F412" s="3" t="s">
        <v>1239</v>
      </c>
      <c r="G412" s="3" t="s">
        <v>3749</v>
      </c>
      <c r="H412" s="3" t="s">
        <v>18</v>
      </c>
    </row>
    <row r="413" spans="1:14" ht="24" customHeight="1" thickTop="1" thickBot="1" x14ac:dyDescent="0.45">
      <c r="A413" s="40" t="s">
        <v>2936</v>
      </c>
      <c r="B413" s="3" t="s">
        <v>2937</v>
      </c>
      <c r="C413" s="3">
        <v>123</v>
      </c>
      <c r="D413" s="23" t="s">
        <v>3749</v>
      </c>
      <c r="E413" s="3" t="s">
        <v>43</v>
      </c>
      <c r="F413" s="3" t="s">
        <v>1239</v>
      </c>
      <c r="G413" s="3" t="s">
        <v>3749</v>
      </c>
      <c r="H413" s="3" t="s">
        <v>18</v>
      </c>
    </row>
    <row r="414" spans="1:14" ht="24" customHeight="1" thickTop="1" thickBot="1" x14ac:dyDescent="0.45">
      <c r="A414" s="40" t="s">
        <v>2938</v>
      </c>
      <c r="B414" s="3" t="s">
        <v>2939</v>
      </c>
      <c r="C414" s="3">
        <v>40</v>
      </c>
      <c r="D414" s="23">
        <v>33963</v>
      </c>
      <c r="E414" s="3" t="s">
        <v>43</v>
      </c>
      <c r="F414" s="3" t="s">
        <v>1239</v>
      </c>
      <c r="G414" s="3" t="s">
        <v>3749</v>
      </c>
      <c r="H414" s="3" t="s">
        <v>18</v>
      </c>
    </row>
    <row r="415" spans="1:14" ht="24" customHeight="1" thickTop="1" thickBot="1" x14ac:dyDescent="0.45">
      <c r="A415" s="40" t="s">
        <v>2940</v>
      </c>
      <c r="B415" s="3" t="s">
        <v>2941</v>
      </c>
      <c r="C415" s="3">
        <v>6410</v>
      </c>
      <c r="D415" s="23" t="s">
        <v>3749</v>
      </c>
      <c r="E415" s="3" t="s">
        <v>43</v>
      </c>
      <c r="F415" s="3" t="s">
        <v>1239</v>
      </c>
      <c r="G415" s="3" t="s">
        <v>3749</v>
      </c>
      <c r="H415" s="3" t="s">
        <v>18</v>
      </c>
    </row>
    <row r="416" spans="1:14" ht="24" customHeight="1" thickTop="1" thickBot="1" x14ac:dyDescent="0.45">
      <c r="A416" s="40" t="s">
        <v>2942</v>
      </c>
      <c r="B416" s="3" t="s">
        <v>2943</v>
      </c>
      <c r="C416" s="3">
        <v>95</v>
      </c>
      <c r="D416" s="23" t="s">
        <v>3749</v>
      </c>
      <c r="E416" s="3" t="s">
        <v>43</v>
      </c>
      <c r="F416" s="3" t="s">
        <v>1239</v>
      </c>
      <c r="G416" s="3" t="s">
        <v>3749</v>
      </c>
      <c r="H416" s="3" t="s">
        <v>18</v>
      </c>
    </row>
    <row r="417" spans="1:8" ht="24" customHeight="1" thickTop="1" thickBot="1" x14ac:dyDescent="0.45">
      <c r="A417" s="40" t="s">
        <v>2944</v>
      </c>
      <c r="B417" s="3" t="s">
        <v>2945</v>
      </c>
      <c r="C417" s="3">
        <v>6374</v>
      </c>
      <c r="D417" s="23" t="s">
        <v>3749</v>
      </c>
      <c r="E417" s="3" t="s">
        <v>43</v>
      </c>
      <c r="F417" s="3" t="s">
        <v>1239</v>
      </c>
      <c r="G417" s="3" t="s">
        <v>3749</v>
      </c>
      <c r="H417" s="3" t="s">
        <v>18</v>
      </c>
    </row>
    <row r="418" spans="1:8" ht="24" customHeight="1" thickTop="1" thickBot="1" x14ac:dyDescent="0.45">
      <c r="A418" s="40" t="s">
        <v>2946</v>
      </c>
      <c r="B418" s="3" t="s">
        <v>2947</v>
      </c>
      <c r="C418" s="3">
        <v>6135</v>
      </c>
      <c r="D418" s="23" t="s">
        <v>3749</v>
      </c>
      <c r="E418" s="3" t="s">
        <v>43</v>
      </c>
      <c r="F418" s="3" t="s">
        <v>1239</v>
      </c>
      <c r="G418" s="3" t="s">
        <v>3749</v>
      </c>
      <c r="H418" s="3" t="s">
        <v>18</v>
      </c>
    </row>
    <row r="419" spans="1:8" ht="24" customHeight="1" thickTop="1" thickBot="1" x14ac:dyDescent="0.45">
      <c r="A419" s="40" t="s">
        <v>2948</v>
      </c>
      <c r="B419" s="3" t="s">
        <v>2949</v>
      </c>
      <c r="C419" s="3">
        <v>6118</v>
      </c>
      <c r="D419" s="23" t="s">
        <v>3749</v>
      </c>
      <c r="E419" s="3" t="s">
        <v>43</v>
      </c>
      <c r="F419" s="3" t="s">
        <v>1239</v>
      </c>
      <c r="G419" s="3" t="s">
        <v>3749</v>
      </c>
      <c r="H419" s="3" t="s">
        <v>18</v>
      </c>
    </row>
    <row r="420" spans="1:8" ht="24" customHeight="1" thickTop="1" thickBot="1" x14ac:dyDescent="0.45">
      <c r="A420" s="40" t="s">
        <v>2950</v>
      </c>
      <c r="B420" s="3" t="s">
        <v>2951</v>
      </c>
      <c r="C420" s="3">
        <v>6327</v>
      </c>
      <c r="D420" s="23" t="s">
        <v>3749</v>
      </c>
      <c r="E420" s="3" t="s">
        <v>43</v>
      </c>
      <c r="F420" s="3" t="s">
        <v>1239</v>
      </c>
      <c r="G420" s="3" t="s">
        <v>3749</v>
      </c>
      <c r="H420" s="3" t="s">
        <v>18</v>
      </c>
    </row>
    <row r="421" spans="1:8" ht="24" customHeight="1" thickTop="1" thickBot="1" x14ac:dyDescent="0.45">
      <c r="A421" s="40" t="s">
        <v>2952</v>
      </c>
      <c r="B421" s="3" t="s">
        <v>2953</v>
      </c>
      <c r="C421" s="3">
        <v>6280</v>
      </c>
      <c r="D421" s="23" t="s">
        <v>3749</v>
      </c>
      <c r="E421" s="3" t="s">
        <v>43</v>
      </c>
      <c r="F421" s="3" t="s">
        <v>1239</v>
      </c>
      <c r="G421" s="3" t="s">
        <v>3749</v>
      </c>
      <c r="H421" s="3" t="s">
        <v>18</v>
      </c>
    </row>
    <row r="422" spans="1:8" ht="24" customHeight="1" thickTop="1" thickBot="1" x14ac:dyDescent="0.45">
      <c r="A422" s="40" t="s">
        <v>2954</v>
      </c>
      <c r="B422" s="3" t="s">
        <v>2955</v>
      </c>
      <c r="C422" s="3">
        <v>6269</v>
      </c>
      <c r="D422" s="23" t="s">
        <v>3749</v>
      </c>
      <c r="E422" s="3" t="s">
        <v>43</v>
      </c>
      <c r="F422" s="3" t="s">
        <v>1239</v>
      </c>
      <c r="G422" s="3" t="s">
        <v>3749</v>
      </c>
      <c r="H422" s="3" t="s">
        <v>18</v>
      </c>
    </row>
    <row r="423" spans="1:8" ht="24" customHeight="1" thickTop="1" thickBot="1" x14ac:dyDescent="0.45">
      <c r="A423" s="40" t="s">
        <v>2956</v>
      </c>
      <c r="B423" s="3" t="s">
        <v>2957</v>
      </c>
      <c r="C423" s="3">
        <v>6282</v>
      </c>
      <c r="D423" s="23" t="s">
        <v>3749</v>
      </c>
      <c r="E423" s="3" t="s">
        <v>43</v>
      </c>
      <c r="F423" s="3" t="s">
        <v>1239</v>
      </c>
      <c r="G423" s="3" t="s">
        <v>3749</v>
      </c>
      <c r="H423" s="3" t="s">
        <v>18</v>
      </c>
    </row>
    <row r="424" spans="1:8" ht="24" customHeight="1" thickTop="1" thickBot="1" x14ac:dyDescent="0.45">
      <c r="A424" s="40" t="s">
        <v>2958</v>
      </c>
      <c r="B424" s="3" t="s">
        <v>2959</v>
      </c>
      <c r="C424" s="3">
        <v>6165</v>
      </c>
      <c r="D424" s="23" t="s">
        <v>3749</v>
      </c>
      <c r="E424" s="3" t="s">
        <v>43</v>
      </c>
      <c r="F424" s="3" t="s">
        <v>1239</v>
      </c>
      <c r="G424" s="3" t="s">
        <v>3749</v>
      </c>
      <c r="H424" s="3" t="s">
        <v>18</v>
      </c>
    </row>
    <row r="425" spans="1:8" ht="24" customHeight="1" thickTop="1" thickBot="1" x14ac:dyDescent="0.45">
      <c r="A425" s="40" t="s">
        <v>2960</v>
      </c>
      <c r="B425" s="3" t="s">
        <v>2961</v>
      </c>
      <c r="C425" s="3">
        <v>6223</v>
      </c>
      <c r="D425" s="23" t="s">
        <v>3749</v>
      </c>
      <c r="E425" s="3" t="s">
        <v>43</v>
      </c>
      <c r="F425" s="3" t="s">
        <v>1239</v>
      </c>
      <c r="G425" s="3" t="s">
        <v>3749</v>
      </c>
      <c r="H425" s="3" t="s">
        <v>18</v>
      </c>
    </row>
    <row r="426" spans="1:8" ht="24" customHeight="1" thickTop="1" thickBot="1" x14ac:dyDescent="0.45">
      <c r="A426" s="40" t="s">
        <v>2962</v>
      </c>
      <c r="B426" s="3" t="s">
        <v>2963</v>
      </c>
      <c r="C426" s="3">
        <v>6265</v>
      </c>
      <c r="D426" s="23" t="s">
        <v>3749</v>
      </c>
      <c r="E426" s="3" t="s">
        <v>43</v>
      </c>
      <c r="F426" s="3" t="s">
        <v>1239</v>
      </c>
      <c r="G426" s="3" t="s">
        <v>3749</v>
      </c>
      <c r="H426" s="3" t="s">
        <v>18</v>
      </c>
    </row>
    <row r="427" spans="1:8" ht="24" customHeight="1" thickTop="1" thickBot="1" x14ac:dyDescent="0.45">
      <c r="A427" s="40" t="s">
        <v>2964</v>
      </c>
      <c r="B427" s="3" t="s">
        <v>2965</v>
      </c>
      <c r="C427" s="3">
        <v>6419</v>
      </c>
      <c r="D427" s="23" t="s">
        <v>3749</v>
      </c>
      <c r="E427" s="3" t="s">
        <v>43</v>
      </c>
      <c r="F427" s="3" t="s">
        <v>1239</v>
      </c>
      <c r="G427" s="3" t="s">
        <v>3749</v>
      </c>
      <c r="H427" s="3" t="s">
        <v>18</v>
      </c>
    </row>
    <row r="428" spans="1:8" ht="24" customHeight="1" thickTop="1" thickBot="1" x14ac:dyDescent="0.45">
      <c r="A428" s="40" t="s">
        <v>2966</v>
      </c>
      <c r="B428" s="3" t="s">
        <v>2967</v>
      </c>
      <c r="C428" s="3">
        <v>6450</v>
      </c>
      <c r="D428" s="23" t="s">
        <v>3749</v>
      </c>
      <c r="E428" s="3" t="s">
        <v>43</v>
      </c>
      <c r="F428" s="3" t="s">
        <v>1239</v>
      </c>
      <c r="G428" s="3" t="s">
        <v>3749</v>
      </c>
      <c r="H428" s="3" t="s">
        <v>18</v>
      </c>
    </row>
    <row r="429" spans="1:8" ht="24" customHeight="1" thickTop="1" thickBot="1" x14ac:dyDescent="0.45">
      <c r="A429" s="40" t="s">
        <v>2968</v>
      </c>
      <c r="B429" s="3" t="s">
        <v>2969</v>
      </c>
      <c r="C429" s="3">
        <v>111</v>
      </c>
      <c r="D429" s="23" t="s">
        <v>3749</v>
      </c>
      <c r="E429" s="3" t="s">
        <v>43</v>
      </c>
      <c r="F429" s="3" t="s">
        <v>1239</v>
      </c>
      <c r="G429" s="3" t="s">
        <v>3749</v>
      </c>
      <c r="H429" s="3" t="s">
        <v>18</v>
      </c>
    </row>
    <row r="430" spans="1:8" ht="24" customHeight="1" thickTop="1" thickBot="1" x14ac:dyDescent="0.45">
      <c r="A430" s="40" t="s">
        <v>2970</v>
      </c>
      <c r="B430" s="3" t="s">
        <v>2971</v>
      </c>
      <c r="C430" s="3">
        <v>114</v>
      </c>
      <c r="D430" s="23" t="s">
        <v>3749</v>
      </c>
      <c r="E430" s="3" t="s">
        <v>43</v>
      </c>
      <c r="F430" s="3" t="s">
        <v>1239</v>
      </c>
      <c r="G430" s="3" t="s">
        <v>3749</v>
      </c>
      <c r="H430" s="3" t="s">
        <v>18</v>
      </c>
    </row>
    <row r="431" spans="1:8" ht="24" customHeight="1" thickTop="1" thickBot="1" x14ac:dyDescent="0.45">
      <c r="A431" s="40" t="s">
        <v>3746</v>
      </c>
      <c r="B431" s="3" t="s">
        <v>3747</v>
      </c>
      <c r="C431" s="3">
        <v>6452</v>
      </c>
      <c r="D431" s="23" t="s">
        <v>3749</v>
      </c>
      <c r="E431" s="3" t="s">
        <v>43</v>
      </c>
      <c r="F431" s="3" t="s">
        <v>1239</v>
      </c>
      <c r="G431" s="3" t="s">
        <v>3749</v>
      </c>
      <c r="H431" s="3" t="s">
        <v>18</v>
      </c>
    </row>
    <row r="432" spans="1:8" ht="24" customHeight="1" thickTop="1" thickBot="1" x14ac:dyDescent="0.45">
      <c r="A432" s="40" t="s">
        <v>2972</v>
      </c>
      <c r="B432" s="3" t="s">
        <v>2973</v>
      </c>
      <c r="C432" s="3">
        <v>6464</v>
      </c>
      <c r="D432" s="23" t="s">
        <v>3749</v>
      </c>
      <c r="E432" s="3" t="s">
        <v>43</v>
      </c>
      <c r="F432" s="3" t="s">
        <v>6</v>
      </c>
      <c r="G432" s="3" t="s">
        <v>3749</v>
      </c>
      <c r="H432" s="3" t="s">
        <v>18</v>
      </c>
    </row>
    <row r="433" spans="1:8" ht="24" customHeight="1" thickTop="1" thickBot="1" x14ac:dyDescent="0.45">
      <c r="A433" s="40" t="s">
        <v>2974</v>
      </c>
      <c r="B433" s="3" t="s">
        <v>2975</v>
      </c>
      <c r="C433" s="3">
        <v>6146</v>
      </c>
      <c r="D433" s="23" t="s">
        <v>3749</v>
      </c>
      <c r="E433" s="3" t="s">
        <v>43</v>
      </c>
      <c r="F433" s="3" t="s">
        <v>6</v>
      </c>
      <c r="G433" s="3" t="s">
        <v>3749</v>
      </c>
      <c r="H433" s="3" t="s">
        <v>18</v>
      </c>
    </row>
    <row r="434" spans="1:8" ht="24" customHeight="1" thickTop="1" thickBot="1" x14ac:dyDescent="0.45">
      <c r="A434" s="40" t="s">
        <v>2976</v>
      </c>
      <c r="B434" s="3" t="s">
        <v>2977</v>
      </c>
      <c r="C434" s="3">
        <v>143</v>
      </c>
      <c r="D434" s="23" t="s">
        <v>3749</v>
      </c>
      <c r="E434" s="3" t="s">
        <v>43</v>
      </c>
      <c r="F434" s="3" t="s">
        <v>6</v>
      </c>
      <c r="G434" s="3" t="s">
        <v>3749</v>
      </c>
      <c r="H434" s="3" t="s">
        <v>18</v>
      </c>
    </row>
    <row r="435" spans="1:8" ht="24" customHeight="1" thickTop="1" thickBot="1" x14ac:dyDescent="0.45">
      <c r="A435" s="40" t="s">
        <v>2978</v>
      </c>
      <c r="B435" s="3" t="s">
        <v>2979</v>
      </c>
      <c r="C435" s="3">
        <v>6475</v>
      </c>
      <c r="D435" s="23">
        <v>36175</v>
      </c>
      <c r="E435" s="3" t="s">
        <v>43</v>
      </c>
      <c r="F435" s="3" t="s">
        <v>6</v>
      </c>
      <c r="G435" s="3" t="s">
        <v>3749</v>
      </c>
      <c r="H435" s="3" t="s">
        <v>18</v>
      </c>
    </row>
    <row r="436" spans="1:8" ht="24" customHeight="1" thickTop="1" thickBot="1" x14ac:dyDescent="0.45">
      <c r="A436" s="40" t="s">
        <v>2980</v>
      </c>
      <c r="B436" s="3" t="s">
        <v>2981</v>
      </c>
      <c r="C436" s="3">
        <v>116</v>
      </c>
      <c r="D436" s="23" t="s">
        <v>3749</v>
      </c>
      <c r="E436" s="3" t="s">
        <v>43</v>
      </c>
      <c r="F436" s="3" t="s">
        <v>6</v>
      </c>
      <c r="G436" s="3" t="s">
        <v>3749</v>
      </c>
      <c r="H436" s="3" t="s">
        <v>18</v>
      </c>
    </row>
    <row r="437" spans="1:8" ht="24" customHeight="1" thickTop="1" thickBot="1" x14ac:dyDescent="0.45">
      <c r="A437" s="40" t="s">
        <v>2982</v>
      </c>
      <c r="B437" s="3" t="s">
        <v>2983</v>
      </c>
      <c r="C437" s="3">
        <v>6209</v>
      </c>
      <c r="D437" s="23" t="s">
        <v>3749</v>
      </c>
      <c r="E437" s="3" t="s">
        <v>43</v>
      </c>
      <c r="F437" s="3" t="s">
        <v>6</v>
      </c>
      <c r="G437" s="3" t="s">
        <v>3749</v>
      </c>
      <c r="H437" s="3" t="s">
        <v>18</v>
      </c>
    </row>
    <row r="438" spans="1:8" ht="24" customHeight="1" thickTop="1" thickBot="1" x14ac:dyDescent="0.45">
      <c r="A438" s="40" t="s">
        <v>2984</v>
      </c>
      <c r="B438" s="3" t="s">
        <v>2985</v>
      </c>
      <c r="C438" s="3">
        <v>6340</v>
      </c>
      <c r="D438" s="23" t="s">
        <v>3749</v>
      </c>
      <c r="E438" s="3" t="s">
        <v>43</v>
      </c>
      <c r="F438" s="3" t="s">
        <v>6</v>
      </c>
      <c r="G438" s="3" t="s">
        <v>3749</v>
      </c>
      <c r="H438" s="3" t="s">
        <v>18</v>
      </c>
    </row>
    <row r="439" spans="1:8" ht="24" customHeight="1" thickTop="1" thickBot="1" x14ac:dyDescent="0.45">
      <c r="A439" s="40" t="s">
        <v>2986</v>
      </c>
      <c r="B439" s="3" t="s">
        <v>2987</v>
      </c>
      <c r="C439" s="3">
        <v>6120</v>
      </c>
      <c r="D439" s="23" t="s">
        <v>3749</v>
      </c>
      <c r="E439" s="3" t="s">
        <v>43</v>
      </c>
      <c r="F439" s="3" t="s">
        <v>6</v>
      </c>
      <c r="G439" s="3" t="s">
        <v>3749</v>
      </c>
      <c r="H439" s="3" t="s">
        <v>18</v>
      </c>
    </row>
    <row r="440" spans="1:8" ht="24" customHeight="1" thickTop="1" thickBot="1" x14ac:dyDescent="0.45">
      <c r="A440" s="40" t="s">
        <v>2988</v>
      </c>
      <c r="B440" s="3" t="s">
        <v>2989</v>
      </c>
      <c r="C440" s="3">
        <v>6202</v>
      </c>
      <c r="D440" s="23" t="s">
        <v>3749</v>
      </c>
      <c r="E440" s="3" t="s">
        <v>43</v>
      </c>
      <c r="F440" s="3" t="s">
        <v>6</v>
      </c>
      <c r="G440" s="3" t="s">
        <v>3749</v>
      </c>
      <c r="H440" s="3" t="s">
        <v>18</v>
      </c>
    </row>
    <row r="441" spans="1:8" ht="24" customHeight="1" thickTop="1" thickBot="1" x14ac:dyDescent="0.45">
      <c r="A441" s="40" t="s">
        <v>2990</v>
      </c>
      <c r="B441" s="3" t="s">
        <v>2991</v>
      </c>
      <c r="C441" s="3">
        <v>6166</v>
      </c>
      <c r="D441" s="23" t="s">
        <v>3749</v>
      </c>
      <c r="E441" s="3" t="s">
        <v>43</v>
      </c>
      <c r="F441" s="3" t="s">
        <v>6</v>
      </c>
      <c r="G441" s="3" t="s">
        <v>3749</v>
      </c>
      <c r="H441" s="3" t="s">
        <v>18</v>
      </c>
    </row>
    <row r="442" spans="1:8" ht="24" customHeight="1" thickTop="1" thickBot="1" x14ac:dyDescent="0.45">
      <c r="A442" s="40" t="s">
        <v>2992</v>
      </c>
      <c r="B442" s="3" t="s">
        <v>2993</v>
      </c>
      <c r="C442" s="3">
        <v>6305</v>
      </c>
      <c r="D442" s="23" t="s">
        <v>3749</v>
      </c>
      <c r="E442" s="3" t="s">
        <v>43</v>
      </c>
      <c r="F442" s="3" t="s">
        <v>6</v>
      </c>
      <c r="G442" s="3" t="s">
        <v>3749</v>
      </c>
      <c r="H442" s="3" t="s">
        <v>18</v>
      </c>
    </row>
    <row r="443" spans="1:8" ht="24" customHeight="1" thickTop="1" thickBot="1" x14ac:dyDescent="0.45">
      <c r="A443" s="40" t="s">
        <v>2994</v>
      </c>
      <c r="B443" s="3" t="s">
        <v>2995</v>
      </c>
      <c r="C443" s="3">
        <v>6350</v>
      </c>
      <c r="D443" s="23" t="s">
        <v>3749</v>
      </c>
      <c r="E443" s="3" t="s">
        <v>43</v>
      </c>
      <c r="F443" s="3" t="s">
        <v>6</v>
      </c>
      <c r="G443" s="3" t="s">
        <v>3749</v>
      </c>
      <c r="H443" s="3" t="s">
        <v>18</v>
      </c>
    </row>
    <row r="444" spans="1:8" ht="24" customHeight="1" thickTop="1" thickBot="1" x14ac:dyDescent="0.45">
      <c r="A444" s="40" t="s">
        <v>2996</v>
      </c>
      <c r="B444" s="3" t="s">
        <v>2997</v>
      </c>
      <c r="C444" s="3">
        <v>6227</v>
      </c>
      <c r="D444" s="23" t="s">
        <v>3749</v>
      </c>
      <c r="E444" s="3" t="s">
        <v>43</v>
      </c>
      <c r="F444" s="3" t="s">
        <v>6</v>
      </c>
      <c r="G444" s="3" t="s">
        <v>3749</v>
      </c>
      <c r="H444" s="3" t="s">
        <v>18</v>
      </c>
    </row>
    <row r="445" spans="1:8" ht="24" customHeight="1" thickTop="1" thickBot="1" x14ac:dyDescent="0.45">
      <c r="A445" s="40" t="s">
        <v>2998</v>
      </c>
      <c r="B445" s="3" t="s">
        <v>2999</v>
      </c>
      <c r="C445" s="3">
        <v>6328</v>
      </c>
      <c r="D445" s="23" t="s">
        <v>3749</v>
      </c>
      <c r="E445" s="3" t="s">
        <v>43</v>
      </c>
      <c r="F445" s="3" t="s">
        <v>6</v>
      </c>
      <c r="G445" s="3" t="s">
        <v>3749</v>
      </c>
      <c r="H445" s="3" t="s">
        <v>18</v>
      </c>
    </row>
    <row r="446" spans="1:8" ht="24" customHeight="1" thickTop="1" thickBot="1" x14ac:dyDescent="0.45">
      <c r="A446" s="40" t="s">
        <v>3000</v>
      </c>
      <c r="B446" s="3" t="s">
        <v>3001</v>
      </c>
      <c r="C446" s="3">
        <v>6173</v>
      </c>
      <c r="D446" s="23" t="s">
        <v>3749</v>
      </c>
      <c r="E446" s="3" t="s">
        <v>43</v>
      </c>
      <c r="F446" s="3" t="s">
        <v>6</v>
      </c>
      <c r="G446" s="3" t="s">
        <v>3749</v>
      </c>
      <c r="H446" s="3" t="s">
        <v>18</v>
      </c>
    </row>
    <row r="447" spans="1:8" ht="24" customHeight="1" thickTop="1" thickBot="1" x14ac:dyDescent="0.45">
      <c r="A447" s="40" t="s">
        <v>3002</v>
      </c>
      <c r="B447" s="3" t="s">
        <v>3003</v>
      </c>
      <c r="C447" s="3">
        <v>6390</v>
      </c>
      <c r="D447" s="23" t="s">
        <v>3749</v>
      </c>
      <c r="E447" s="3" t="s">
        <v>43</v>
      </c>
      <c r="F447" s="3" t="s">
        <v>6</v>
      </c>
      <c r="G447" s="3" t="s">
        <v>3749</v>
      </c>
      <c r="H447" s="3" t="s">
        <v>18</v>
      </c>
    </row>
    <row r="448" spans="1:8" ht="24" customHeight="1" thickTop="1" thickBot="1" x14ac:dyDescent="0.45">
      <c r="A448" s="40" t="s">
        <v>3004</v>
      </c>
      <c r="B448" s="3" t="s">
        <v>3005</v>
      </c>
      <c r="C448" s="3">
        <v>6378</v>
      </c>
      <c r="D448" s="23" t="s">
        <v>3749</v>
      </c>
      <c r="E448" s="3" t="s">
        <v>43</v>
      </c>
      <c r="F448" s="3" t="s">
        <v>6</v>
      </c>
      <c r="G448" s="3" t="s">
        <v>3749</v>
      </c>
      <c r="H448" s="3" t="s">
        <v>18</v>
      </c>
    </row>
    <row r="449" spans="1:8" ht="24" customHeight="1" thickTop="1" thickBot="1" x14ac:dyDescent="0.45">
      <c r="A449" s="40" t="s">
        <v>3006</v>
      </c>
      <c r="B449" s="3" t="s">
        <v>3007</v>
      </c>
      <c r="C449" s="3">
        <v>6242</v>
      </c>
      <c r="D449" s="23" t="s">
        <v>3749</v>
      </c>
      <c r="E449" s="3" t="s">
        <v>43</v>
      </c>
      <c r="F449" s="3" t="s">
        <v>6</v>
      </c>
      <c r="G449" s="3" t="s">
        <v>3749</v>
      </c>
      <c r="H449" s="3" t="s">
        <v>18</v>
      </c>
    </row>
    <row r="450" spans="1:8" ht="24" customHeight="1" thickTop="1" thickBot="1" x14ac:dyDescent="0.45">
      <c r="A450" s="40" t="s">
        <v>152</v>
      </c>
      <c r="B450" s="3" t="s">
        <v>1397</v>
      </c>
      <c r="C450" s="3">
        <v>6480</v>
      </c>
      <c r="D450" s="23">
        <v>34871</v>
      </c>
      <c r="E450" s="3" t="s">
        <v>43</v>
      </c>
      <c r="F450" s="3" t="s">
        <v>1238</v>
      </c>
      <c r="G450" s="3" t="s">
        <v>3749</v>
      </c>
      <c r="H450" s="3" t="s">
        <v>18</v>
      </c>
    </row>
    <row r="451" spans="1:8" ht="24" customHeight="1" thickTop="1" thickBot="1" x14ac:dyDescent="0.45">
      <c r="A451" s="40" t="s">
        <v>3008</v>
      </c>
      <c r="B451" s="3" t="s">
        <v>3009</v>
      </c>
      <c r="D451" s="23">
        <v>29197</v>
      </c>
      <c r="E451" s="3" t="s">
        <v>43</v>
      </c>
      <c r="F451" s="3" t="s">
        <v>1238</v>
      </c>
      <c r="G451" s="3" t="s">
        <v>3749</v>
      </c>
      <c r="H451" s="3" t="s">
        <v>18</v>
      </c>
    </row>
    <row r="452" spans="1:8" ht="24" customHeight="1" thickTop="1" thickBot="1" x14ac:dyDescent="0.45">
      <c r="A452" s="40" t="s">
        <v>3010</v>
      </c>
      <c r="B452" s="3" t="s">
        <v>3011</v>
      </c>
      <c r="C452" s="3">
        <v>158</v>
      </c>
      <c r="D452" s="23" t="s">
        <v>3749</v>
      </c>
      <c r="E452" s="3" t="s">
        <v>43</v>
      </c>
      <c r="F452" s="3" t="s">
        <v>1238</v>
      </c>
      <c r="G452" s="3" t="s">
        <v>3749</v>
      </c>
      <c r="H452" s="3" t="s">
        <v>18</v>
      </c>
    </row>
    <row r="453" spans="1:8" ht="24" customHeight="1" thickTop="1" thickBot="1" x14ac:dyDescent="0.45">
      <c r="A453" s="40" t="s">
        <v>3012</v>
      </c>
      <c r="B453" s="3" t="s">
        <v>3013</v>
      </c>
      <c r="C453" s="3">
        <v>106</v>
      </c>
      <c r="D453" s="23" t="s">
        <v>3749</v>
      </c>
      <c r="E453" s="3" t="s">
        <v>43</v>
      </c>
      <c r="F453" s="3" t="s">
        <v>1238</v>
      </c>
      <c r="G453" s="3" t="s">
        <v>3749</v>
      </c>
      <c r="H453" s="3" t="s">
        <v>18</v>
      </c>
    </row>
    <row r="454" spans="1:8" ht="24" customHeight="1" thickTop="1" thickBot="1" x14ac:dyDescent="0.45">
      <c r="A454" s="40" t="s">
        <v>3014</v>
      </c>
      <c r="B454" s="3" t="s">
        <v>3015</v>
      </c>
      <c r="C454" s="3">
        <v>160</v>
      </c>
      <c r="D454" s="23" t="s">
        <v>3749</v>
      </c>
      <c r="E454" s="3" t="s">
        <v>43</v>
      </c>
      <c r="F454" s="3" t="s">
        <v>1238</v>
      </c>
      <c r="G454" s="3" t="s">
        <v>3749</v>
      </c>
      <c r="H454" s="3" t="s">
        <v>18</v>
      </c>
    </row>
    <row r="455" spans="1:8" ht="24" customHeight="1" thickTop="1" thickBot="1" x14ac:dyDescent="0.45">
      <c r="A455" s="40" t="s">
        <v>130</v>
      </c>
      <c r="B455" s="3" t="s">
        <v>3016</v>
      </c>
      <c r="C455" s="3">
        <v>6409</v>
      </c>
      <c r="D455" s="23">
        <v>27973</v>
      </c>
      <c r="E455" s="3" t="s">
        <v>43</v>
      </c>
      <c r="F455" s="3" t="s">
        <v>1238</v>
      </c>
      <c r="G455" s="3" t="s">
        <v>3749</v>
      </c>
      <c r="H455" s="3" t="s">
        <v>18</v>
      </c>
    </row>
    <row r="456" spans="1:8" ht="24" customHeight="1" thickTop="1" thickBot="1" x14ac:dyDescent="0.45">
      <c r="A456" s="40" t="s">
        <v>3017</v>
      </c>
      <c r="B456" s="3" t="s">
        <v>3018</v>
      </c>
      <c r="C456" s="3">
        <v>6413</v>
      </c>
      <c r="D456" s="23" t="s">
        <v>3749</v>
      </c>
      <c r="E456" s="3" t="s">
        <v>43</v>
      </c>
      <c r="F456" s="3" t="s">
        <v>1238</v>
      </c>
      <c r="G456" s="3" t="s">
        <v>3749</v>
      </c>
      <c r="H456" s="3" t="s">
        <v>18</v>
      </c>
    </row>
    <row r="457" spans="1:8" ht="24" customHeight="1" thickTop="1" thickBot="1" x14ac:dyDescent="0.45">
      <c r="A457" s="40" t="s">
        <v>3019</v>
      </c>
      <c r="B457" s="3" t="s">
        <v>3020</v>
      </c>
      <c r="C457" s="3">
        <v>120</v>
      </c>
      <c r="D457" s="23" t="s">
        <v>3749</v>
      </c>
      <c r="E457" s="3" t="s">
        <v>43</v>
      </c>
      <c r="F457" s="3" t="s">
        <v>1238</v>
      </c>
      <c r="G457" s="3" t="s">
        <v>3749</v>
      </c>
      <c r="H457" s="3" t="s">
        <v>18</v>
      </c>
    </row>
    <row r="458" spans="1:8" ht="24" customHeight="1" thickTop="1" thickBot="1" x14ac:dyDescent="0.45">
      <c r="A458" s="40" t="s">
        <v>3021</v>
      </c>
      <c r="B458" s="3" t="s">
        <v>3022</v>
      </c>
      <c r="C458" s="3">
        <v>6431</v>
      </c>
      <c r="D458" s="23" t="s">
        <v>3749</v>
      </c>
      <c r="E458" s="3" t="s">
        <v>43</v>
      </c>
      <c r="F458" s="3" t="s">
        <v>1238</v>
      </c>
      <c r="G458" s="3" t="s">
        <v>3749</v>
      </c>
      <c r="H458" s="3" t="s">
        <v>18</v>
      </c>
    </row>
    <row r="459" spans="1:8" ht="24" customHeight="1" thickTop="1" thickBot="1" x14ac:dyDescent="0.45">
      <c r="A459" s="40" t="s">
        <v>3023</v>
      </c>
      <c r="B459" s="3" t="s">
        <v>3024</v>
      </c>
      <c r="C459" s="3">
        <v>126</v>
      </c>
      <c r="D459" s="23" t="s">
        <v>3749</v>
      </c>
      <c r="E459" s="3" t="s">
        <v>43</v>
      </c>
      <c r="F459" s="3" t="s">
        <v>1238</v>
      </c>
      <c r="G459" s="3" t="s">
        <v>3749</v>
      </c>
      <c r="H459" s="3" t="s">
        <v>18</v>
      </c>
    </row>
    <row r="460" spans="1:8" ht="24" customHeight="1" thickTop="1" thickBot="1" x14ac:dyDescent="0.45">
      <c r="A460" s="40" t="s">
        <v>3025</v>
      </c>
      <c r="B460" s="3" t="s">
        <v>3026</v>
      </c>
      <c r="C460" s="3">
        <v>97</v>
      </c>
      <c r="D460" s="23" t="s">
        <v>3749</v>
      </c>
      <c r="E460" s="3" t="s">
        <v>43</v>
      </c>
      <c r="F460" s="3" t="s">
        <v>1238</v>
      </c>
      <c r="G460" s="3" t="s">
        <v>3749</v>
      </c>
      <c r="H460" s="3" t="s">
        <v>18</v>
      </c>
    </row>
    <row r="461" spans="1:8" ht="24" customHeight="1" thickTop="1" thickBot="1" x14ac:dyDescent="0.45">
      <c r="A461" s="40" t="s">
        <v>3027</v>
      </c>
      <c r="B461" s="3" t="s">
        <v>3028</v>
      </c>
      <c r="C461" s="3">
        <v>6463</v>
      </c>
      <c r="D461" s="23" t="s">
        <v>3749</v>
      </c>
      <c r="E461" s="3" t="s">
        <v>43</v>
      </c>
      <c r="F461" s="3" t="s">
        <v>1238</v>
      </c>
      <c r="G461" s="3" t="s">
        <v>3749</v>
      </c>
      <c r="H461" s="3" t="s">
        <v>18</v>
      </c>
    </row>
    <row r="462" spans="1:8" ht="24" customHeight="1" thickTop="1" thickBot="1" x14ac:dyDescent="0.45">
      <c r="A462" s="40" t="s">
        <v>1237</v>
      </c>
      <c r="B462" s="3" t="s">
        <v>3029</v>
      </c>
      <c r="C462" s="3">
        <v>6308</v>
      </c>
      <c r="D462" s="23" t="s">
        <v>3749</v>
      </c>
      <c r="E462" s="3" t="s">
        <v>43</v>
      </c>
      <c r="F462" s="3" t="s">
        <v>1238</v>
      </c>
      <c r="G462" s="3" t="s">
        <v>3749</v>
      </c>
      <c r="H462" s="3" t="s">
        <v>18</v>
      </c>
    </row>
    <row r="463" spans="1:8" ht="24" customHeight="1" thickTop="1" thickBot="1" x14ac:dyDescent="0.45">
      <c r="A463" s="40" t="s">
        <v>3030</v>
      </c>
      <c r="B463" s="3" t="s">
        <v>3031</v>
      </c>
      <c r="C463" s="3">
        <v>6212</v>
      </c>
      <c r="D463" s="23" t="s">
        <v>3749</v>
      </c>
      <c r="E463" s="3" t="s">
        <v>43</v>
      </c>
      <c r="F463" s="3" t="s">
        <v>1238</v>
      </c>
      <c r="G463" s="3" t="s">
        <v>3749</v>
      </c>
      <c r="H463" s="3" t="s">
        <v>18</v>
      </c>
    </row>
    <row r="464" spans="1:8" ht="24" customHeight="1" thickTop="1" thickBot="1" x14ac:dyDescent="0.45">
      <c r="A464" s="40" t="s">
        <v>3032</v>
      </c>
      <c r="B464" s="3" t="s">
        <v>3033</v>
      </c>
      <c r="C464" s="3">
        <v>6235</v>
      </c>
      <c r="D464" s="23" t="s">
        <v>3749</v>
      </c>
      <c r="E464" s="3" t="s">
        <v>43</v>
      </c>
      <c r="F464" s="3" t="s">
        <v>1238</v>
      </c>
      <c r="G464" s="3" t="s">
        <v>3749</v>
      </c>
      <c r="H464" s="3" t="s">
        <v>18</v>
      </c>
    </row>
    <row r="465" spans="1:8" ht="24" customHeight="1" thickTop="1" thickBot="1" x14ac:dyDescent="0.45">
      <c r="A465" s="40" t="s">
        <v>3034</v>
      </c>
      <c r="B465" s="3" t="s">
        <v>3035</v>
      </c>
      <c r="C465" s="3">
        <v>6287</v>
      </c>
      <c r="D465" s="23" t="s">
        <v>3749</v>
      </c>
      <c r="E465" s="3" t="s">
        <v>43</v>
      </c>
      <c r="F465" s="3" t="s">
        <v>1238</v>
      </c>
      <c r="G465" s="3" t="s">
        <v>3749</v>
      </c>
      <c r="H465" s="3" t="s">
        <v>18</v>
      </c>
    </row>
    <row r="466" spans="1:8" ht="24" customHeight="1" thickTop="1" thickBot="1" x14ac:dyDescent="0.45">
      <c r="A466" s="40" t="s">
        <v>3036</v>
      </c>
      <c r="B466" s="3" t="s">
        <v>3037</v>
      </c>
      <c r="C466" s="3">
        <v>6142</v>
      </c>
      <c r="D466" s="23" t="s">
        <v>3749</v>
      </c>
      <c r="E466" s="3" t="s">
        <v>43</v>
      </c>
      <c r="F466" s="3" t="s">
        <v>1238</v>
      </c>
      <c r="G466" s="3" t="s">
        <v>3749</v>
      </c>
      <c r="H466" s="3" t="s">
        <v>18</v>
      </c>
    </row>
    <row r="467" spans="1:8" ht="24" customHeight="1" thickTop="1" thickBot="1" x14ac:dyDescent="0.45">
      <c r="A467" s="40" t="s">
        <v>3038</v>
      </c>
      <c r="B467" s="3" t="s">
        <v>3039</v>
      </c>
      <c r="C467" s="3">
        <v>6293</v>
      </c>
      <c r="D467" s="23" t="s">
        <v>3749</v>
      </c>
      <c r="E467" s="3" t="s">
        <v>43</v>
      </c>
      <c r="F467" s="3" t="s">
        <v>1238</v>
      </c>
      <c r="G467" s="3" t="s">
        <v>3749</v>
      </c>
      <c r="H467" s="3" t="s">
        <v>18</v>
      </c>
    </row>
    <row r="468" spans="1:8" ht="24" customHeight="1" thickTop="1" thickBot="1" x14ac:dyDescent="0.45">
      <c r="A468" s="40" t="s">
        <v>3040</v>
      </c>
      <c r="B468" s="3" t="s">
        <v>3041</v>
      </c>
      <c r="C468" s="3">
        <v>6383</v>
      </c>
      <c r="D468" s="23" t="s">
        <v>3749</v>
      </c>
      <c r="E468" s="3" t="s">
        <v>43</v>
      </c>
      <c r="F468" s="3" t="s">
        <v>1238</v>
      </c>
      <c r="G468" s="3" t="s">
        <v>3749</v>
      </c>
      <c r="H468" s="3" t="s">
        <v>18</v>
      </c>
    </row>
    <row r="469" spans="1:8" ht="24" customHeight="1" thickTop="1" thickBot="1" x14ac:dyDescent="0.45">
      <c r="A469" s="40" t="s">
        <v>3042</v>
      </c>
      <c r="B469" s="3" t="s">
        <v>3043</v>
      </c>
      <c r="C469" s="3">
        <v>6322</v>
      </c>
      <c r="D469" s="23" t="s">
        <v>3749</v>
      </c>
      <c r="E469" s="3" t="s">
        <v>43</v>
      </c>
      <c r="F469" s="3" t="s">
        <v>1238</v>
      </c>
      <c r="G469" s="3" t="s">
        <v>3749</v>
      </c>
      <c r="H469" s="3" t="s">
        <v>18</v>
      </c>
    </row>
    <row r="470" spans="1:8" ht="24" customHeight="1" thickTop="1" thickBot="1" x14ac:dyDescent="0.45">
      <c r="A470" s="40" t="s">
        <v>3044</v>
      </c>
      <c r="B470" s="3" t="s">
        <v>3045</v>
      </c>
      <c r="C470" s="3">
        <v>6180</v>
      </c>
      <c r="D470" s="23" t="s">
        <v>3749</v>
      </c>
      <c r="E470" s="3" t="s">
        <v>43</v>
      </c>
      <c r="F470" s="3" t="s">
        <v>1238</v>
      </c>
      <c r="G470" s="3" t="s">
        <v>3749</v>
      </c>
      <c r="H470" s="3" t="s">
        <v>18</v>
      </c>
    </row>
    <row r="471" spans="1:8" ht="24" customHeight="1" thickTop="1" thickBot="1" x14ac:dyDescent="0.45">
      <c r="A471" s="40" t="s">
        <v>3046</v>
      </c>
      <c r="B471" s="3" t="s">
        <v>3047</v>
      </c>
      <c r="C471" s="3">
        <v>6245</v>
      </c>
      <c r="D471" s="23" t="s">
        <v>3749</v>
      </c>
      <c r="E471" s="3" t="s">
        <v>43</v>
      </c>
      <c r="F471" s="3" t="s">
        <v>1238</v>
      </c>
      <c r="G471" s="3" t="s">
        <v>3749</v>
      </c>
      <c r="H471" s="3" t="s">
        <v>18</v>
      </c>
    </row>
    <row r="472" spans="1:8" ht="24" customHeight="1" thickTop="1" thickBot="1" x14ac:dyDescent="0.45">
      <c r="A472" s="40" t="s">
        <v>3048</v>
      </c>
      <c r="B472" s="3" t="s">
        <v>3049</v>
      </c>
      <c r="C472" s="3">
        <v>6240</v>
      </c>
      <c r="D472" s="23" t="s">
        <v>3749</v>
      </c>
      <c r="E472" s="3" t="s">
        <v>43</v>
      </c>
      <c r="F472" s="3" t="s">
        <v>1238</v>
      </c>
      <c r="G472" s="3" t="s">
        <v>3749</v>
      </c>
      <c r="H472" s="3" t="s">
        <v>18</v>
      </c>
    </row>
    <row r="473" spans="1:8" ht="24" customHeight="1" thickTop="1" thickBot="1" x14ac:dyDescent="0.45">
      <c r="A473" s="40" t="s">
        <v>3050</v>
      </c>
      <c r="B473" s="3" t="s">
        <v>3051</v>
      </c>
      <c r="C473" s="3">
        <v>6191</v>
      </c>
      <c r="D473" s="23" t="s">
        <v>3749</v>
      </c>
      <c r="E473" s="3" t="s">
        <v>43</v>
      </c>
      <c r="F473" s="3" t="s">
        <v>1238</v>
      </c>
      <c r="G473" s="3" t="s">
        <v>3749</v>
      </c>
      <c r="H473" s="3" t="s">
        <v>18</v>
      </c>
    </row>
    <row r="474" spans="1:8" ht="24" customHeight="1" thickTop="1" thickBot="1" x14ac:dyDescent="0.45">
      <c r="A474" s="40" t="s">
        <v>3052</v>
      </c>
      <c r="B474" s="3" t="s">
        <v>3053</v>
      </c>
      <c r="C474" s="3">
        <v>6405</v>
      </c>
      <c r="D474" s="23" t="s">
        <v>3749</v>
      </c>
      <c r="E474" s="3" t="s">
        <v>43</v>
      </c>
      <c r="F474" s="3" t="s">
        <v>1238</v>
      </c>
      <c r="G474" s="3" t="s">
        <v>3749</v>
      </c>
      <c r="H474" s="3" t="s">
        <v>18</v>
      </c>
    </row>
    <row r="475" spans="1:8" ht="24" customHeight="1" thickTop="1" thickBot="1" x14ac:dyDescent="0.45">
      <c r="A475" s="40" t="s">
        <v>3054</v>
      </c>
      <c r="B475" s="3" t="s">
        <v>3055</v>
      </c>
      <c r="C475" s="3">
        <v>6214</v>
      </c>
      <c r="D475" s="23" t="s">
        <v>3749</v>
      </c>
      <c r="E475" s="3" t="s">
        <v>43</v>
      </c>
      <c r="F475" s="3" t="s">
        <v>1238</v>
      </c>
      <c r="G475" s="3" t="s">
        <v>3749</v>
      </c>
      <c r="H475" s="3" t="s">
        <v>18</v>
      </c>
    </row>
    <row r="476" spans="1:8" ht="24" customHeight="1" thickTop="1" thickBot="1" x14ac:dyDescent="0.45">
      <c r="A476" s="40" t="s">
        <v>3056</v>
      </c>
      <c r="B476" s="3" t="s">
        <v>3057</v>
      </c>
      <c r="C476" s="3">
        <v>6412</v>
      </c>
      <c r="D476" s="23" t="s">
        <v>3749</v>
      </c>
      <c r="E476" s="3" t="s">
        <v>43</v>
      </c>
      <c r="F476" s="3" t="s">
        <v>1238</v>
      </c>
      <c r="G476" s="3" t="s">
        <v>3749</v>
      </c>
      <c r="H476" s="3" t="s">
        <v>18</v>
      </c>
    </row>
    <row r="477" spans="1:8" ht="24" customHeight="1" thickTop="1" thickBot="1" x14ac:dyDescent="0.45">
      <c r="A477" s="40" t="s">
        <v>3058</v>
      </c>
      <c r="B477" s="3" t="s">
        <v>3059</v>
      </c>
      <c r="C477" s="3">
        <v>6441</v>
      </c>
      <c r="D477" s="23" t="s">
        <v>3749</v>
      </c>
      <c r="E477" s="3" t="s">
        <v>43</v>
      </c>
      <c r="F477" s="3" t="s">
        <v>1238</v>
      </c>
      <c r="G477" s="3" t="s">
        <v>3749</v>
      </c>
      <c r="H477" s="3" t="s">
        <v>18</v>
      </c>
    </row>
    <row r="478" spans="1:8" ht="24" customHeight="1" thickTop="1" thickBot="1" x14ac:dyDescent="0.45">
      <c r="A478" s="40" t="s">
        <v>3060</v>
      </c>
      <c r="B478" s="3" t="s">
        <v>3061</v>
      </c>
      <c r="C478" s="3">
        <v>6349</v>
      </c>
      <c r="D478" s="23" t="s">
        <v>3749</v>
      </c>
      <c r="E478" s="3" t="s">
        <v>43</v>
      </c>
      <c r="F478" s="3" t="s">
        <v>1238</v>
      </c>
      <c r="G478" s="3" t="s">
        <v>3749</v>
      </c>
      <c r="H478" s="3" t="s">
        <v>18</v>
      </c>
    </row>
    <row r="479" spans="1:8" ht="24" customHeight="1" thickTop="1" thickBot="1" x14ac:dyDescent="0.45">
      <c r="A479" s="40" t="s">
        <v>3062</v>
      </c>
      <c r="B479" s="3" t="s">
        <v>3063</v>
      </c>
      <c r="C479" s="3">
        <v>6148</v>
      </c>
      <c r="D479" s="23" t="s">
        <v>3749</v>
      </c>
      <c r="E479" s="3" t="s">
        <v>43</v>
      </c>
      <c r="F479" s="3" t="s">
        <v>1238</v>
      </c>
      <c r="G479" s="3" t="s">
        <v>3749</v>
      </c>
      <c r="H479" s="3" t="s">
        <v>18</v>
      </c>
    </row>
    <row r="480" spans="1:8" ht="24" customHeight="1" thickTop="1" thickBot="1" x14ac:dyDescent="0.45">
      <c r="A480" s="40" t="s">
        <v>3064</v>
      </c>
      <c r="B480" s="3" t="s">
        <v>3065</v>
      </c>
      <c r="C480" s="3">
        <v>94</v>
      </c>
      <c r="D480" s="23" t="s">
        <v>3749</v>
      </c>
      <c r="E480" s="3" t="s">
        <v>43</v>
      </c>
      <c r="F480" s="3" t="s">
        <v>1238</v>
      </c>
      <c r="G480" s="3" t="s">
        <v>3749</v>
      </c>
      <c r="H480" s="3" t="s">
        <v>18</v>
      </c>
    </row>
    <row r="481" spans="1:22" ht="24" customHeight="1" thickTop="1" thickBot="1" x14ac:dyDescent="0.45">
      <c r="A481" s="40" t="s">
        <v>3066</v>
      </c>
      <c r="B481" s="3" t="s">
        <v>3067</v>
      </c>
      <c r="C481" s="3">
        <v>99</v>
      </c>
      <c r="D481" s="23" t="s">
        <v>3749</v>
      </c>
      <c r="E481" s="3" t="s">
        <v>43</v>
      </c>
      <c r="F481" s="3" t="s">
        <v>1238</v>
      </c>
      <c r="G481" s="3" t="s">
        <v>3749</v>
      </c>
      <c r="H481" s="3" t="s">
        <v>18</v>
      </c>
    </row>
    <row r="482" spans="1:22" ht="24" customHeight="1" thickTop="1" thickBot="1" x14ac:dyDescent="0.45">
      <c r="A482" s="40" t="s">
        <v>3068</v>
      </c>
      <c r="B482" s="3" t="s">
        <v>3069</v>
      </c>
      <c r="C482" s="3">
        <v>136</v>
      </c>
      <c r="D482" s="23" t="s">
        <v>3749</v>
      </c>
      <c r="E482" s="3" t="s">
        <v>43</v>
      </c>
      <c r="F482" s="3" t="s">
        <v>1238</v>
      </c>
      <c r="G482" s="3" t="s">
        <v>3749</v>
      </c>
      <c r="H482" s="3" t="s">
        <v>18</v>
      </c>
    </row>
    <row r="483" spans="1:22" ht="24" customHeight="1" thickTop="1" thickBot="1" x14ac:dyDescent="0.45">
      <c r="A483" s="40" t="s">
        <v>3070</v>
      </c>
      <c r="B483" s="3" t="s">
        <v>3071</v>
      </c>
      <c r="C483" s="3">
        <v>102</v>
      </c>
      <c r="D483" s="23" t="s">
        <v>3749</v>
      </c>
      <c r="E483" s="3" t="s">
        <v>43</v>
      </c>
      <c r="F483" s="3" t="s">
        <v>1238</v>
      </c>
      <c r="G483" s="3" t="s">
        <v>3749</v>
      </c>
      <c r="H483" s="3" t="s">
        <v>18</v>
      </c>
    </row>
    <row r="484" spans="1:22" ht="24" customHeight="1" thickTop="1" thickBot="1" x14ac:dyDescent="0.45">
      <c r="A484" s="40" t="s">
        <v>3072</v>
      </c>
      <c r="B484" s="3">
        <v>163830</v>
      </c>
      <c r="C484" s="3">
        <v>6367</v>
      </c>
      <c r="D484" s="23" t="s">
        <v>3749</v>
      </c>
      <c r="E484" s="3" t="s">
        <v>43</v>
      </c>
      <c r="F484" s="3" t="s">
        <v>1238</v>
      </c>
      <c r="G484" s="3" t="s">
        <v>3749</v>
      </c>
      <c r="H484" s="3" t="s">
        <v>18</v>
      </c>
    </row>
    <row r="485" spans="1:22" ht="24" customHeight="1" thickTop="1" thickBot="1" x14ac:dyDescent="0.45">
      <c r="A485" s="40" t="s">
        <v>3073</v>
      </c>
      <c r="B485" s="3" t="s">
        <v>1439</v>
      </c>
      <c r="C485" s="3">
        <v>6199</v>
      </c>
      <c r="D485" s="23" t="s">
        <v>3749</v>
      </c>
      <c r="E485" s="3" t="s">
        <v>43</v>
      </c>
      <c r="F485" s="3" t="s">
        <v>1238</v>
      </c>
      <c r="G485" s="3" t="s">
        <v>3749</v>
      </c>
      <c r="H485" s="3" t="s">
        <v>18</v>
      </c>
    </row>
    <row r="486" spans="1:22" ht="24" customHeight="1" thickTop="1" thickBot="1" x14ac:dyDescent="0.45">
      <c r="A486" s="40" t="s">
        <v>3074</v>
      </c>
      <c r="B486" s="3" t="s">
        <v>3075</v>
      </c>
      <c r="C486" s="3">
        <v>207</v>
      </c>
      <c r="D486" s="23">
        <v>31767</v>
      </c>
      <c r="E486" s="3" t="s">
        <v>1</v>
      </c>
      <c r="F486" s="3" t="s">
        <v>6</v>
      </c>
      <c r="G486" s="3">
        <v>1</v>
      </c>
      <c r="H486" s="3" t="s">
        <v>18</v>
      </c>
      <c r="K486" s="43" t="s">
        <v>101</v>
      </c>
      <c r="L486" s="61"/>
      <c r="M486" s="23">
        <v>43303</v>
      </c>
      <c r="N486" s="23">
        <v>44634</v>
      </c>
      <c r="U486" s="23">
        <v>44634</v>
      </c>
    </row>
    <row r="487" spans="1:22" ht="24" customHeight="1" thickTop="1" thickBot="1" x14ac:dyDescent="0.45">
      <c r="A487" s="40" t="s">
        <v>3076</v>
      </c>
      <c r="B487" s="3" t="s">
        <v>3077</v>
      </c>
      <c r="C487" s="3">
        <v>304</v>
      </c>
      <c r="D487" s="23">
        <v>34073</v>
      </c>
      <c r="E487" s="3" t="s">
        <v>1</v>
      </c>
      <c r="F487" s="3" t="s">
        <v>1239</v>
      </c>
      <c r="G487" s="3">
        <v>2</v>
      </c>
      <c r="H487" s="3" t="s">
        <v>18</v>
      </c>
      <c r="K487" s="43" t="s">
        <v>1138</v>
      </c>
      <c r="L487" s="61"/>
      <c r="M487" s="23">
        <v>43831</v>
      </c>
      <c r="N487" s="23">
        <v>44627</v>
      </c>
      <c r="T487" s="23">
        <v>44627</v>
      </c>
    </row>
    <row r="488" spans="1:22" ht="24" customHeight="1" thickTop="1" thickBot="1" x14ac:dyDescent="0.45">
      <c r="A488" s="40" t="s">
        <v>3078</v>
      </c>
      <c r="B488" s="3" t="s">
        <v>3079</v>
      </c>
      <c r="C488" s="3">
        <v>366</v>
      </c>
      <c r="D488" s="23">
        <v>33450</v>
      </c>
      <c r="E488" s="3" t="s">
        <v>1</v>
      </c>
      <c r="F488" s="3" t="s">
        <v>1239</v>
      </c>
      <c r="G488" s="3">
        <v>2</v>
      </c>
      <c r="H488" s="3" t="s">
        <v>18</v>
      </c>
      <c r="K488" s="23" t="s">
        <v>1154</v>
      </c>
      <c r="M488" s="23">
        <v>44334</v>
      </c>
      <c r="N488" s="23">
        <v>44387</v>
      </c>
      <c r="U488" s="43"/>
      <c r="V488" s="61"/>
    </row>
    <row r="489" spans="1:22" ht="24" customHeight="1" thickTop="1" thickBot="1" x14ac:dyDescent="0.45">
      <c r="A489" s="40" t="s">
        <v>3080</v>
      </c>
      <c r="B489" s="3" t="s">
        <v>3081</v>
      </c>
      <c r="C489" s="3">
        <v>256</v>
      </c>
      <c r="D489" s="23">
        <v>32950</v>
      </c>
      <c r="E489" s="3" t="s">
        <v>1</v>
      </c>
      <c r="F489" s="3" t="s">
        <v>6</v>
      </c>
      <c r="G489" s="3">
        <v>2</v>
      </c>
      <c r="H489" s="3" t="s">
        <v>18</v>
      </c>
      <c r="K489" s="43" t="s">
        <v>1751</v>
      </c>
      <c r="L489" s="61">
        <v>43530</v>
      </c>
      <c r="M489" s="23">
        <v>43545</v>
      </c>
      <c r="N489" s="23">
        <v>44387</v>
      </c>
      <c r="T489" s="23" t="s">
        <v>3082</v>
      </c>
      <c r="U489" s="23" t="s">
        <v>3083</v>
      </c>
    </row>
    <row r="490" spans="1:22" ht="24" customHeight="1" thickTop="1" thickBot="1" x14ac:dyDescent="0.45">
      <c r="A490" s="40" t="s">
        <v>17</v>
      </c>
      <c r="B490" s="3" t="s">
        <v>3084</v>
      </c>
      <c r="C490" s="3">
        <v>208</v>
      </c>
      <c r="D490" s="23">
        <v>32663</v>
      </c>
      <c r="E490" s="3" t="s">
        <v>1</v>
      </c>
      <c r="F490" s="3" t="s">
        <v>6</v>
      </c>
      <c r="G490" s="3">
        <v>2</v>
      </c>
      <c r="H490" s="3" t="s">
        <v>18</v>
      </c>
      <c r="K490" s="23" t="s">
        <v>1224</v>
      </c>
      <c r="M490" s="23">
        <v>43303</v>
      </c>
      <c r="N490" s="23">
        <v>44387</v>
      </c>
      <c r="U490" s="23">
        <v>44420</v>
      </c>
      <c r="V490" s="23">
        <v>44387</v>
      </c>
    </row>
    <row r="491" spans="1:22" ht="24" customHeight="1" thickTop="1" thickBot="1" x14ac:dyDescent="0.45">
      <c r="A491" s="40" t="s">
        <v>3085</v>
      </c>
      <c r="B491" s="3" t="s">
        <v>3086</v>
      </c>
      <c r="C491" s="3">
        <v>189</v>
      </c>
      <c r="D491" s="23">
        <v>33579</v>
      </c>
      <c r="E491" s="3" t="s">
        <v>1</v>
      </c>
      <c r="F491" s="3" t="s">
        <v>1238</v>
      </c>
      <c r="G491" s="3">
        <v>2</v>
      </c>
      <c r="H491" s="3" t="s">
        <v>18</v>
      </c>
      <c r="K491" s="23" t="s">
        <v>1119</v>
      </c>
      <c r="L491" s="23">
        <v>43228</v>
      </c>
      <c r="M491" s="23">
        <v>43299</v>
      </c>
      <c r="N491" s="23">
        <v>44387</v>
      </c>
      <c r="T491" s="23">
        <v>44387</v>
      </c>
      <c r="U491" s="23">
        <v>45650</v>
      </c>
    </row>
    <row r="492" spans="1:22" ht="24" customHeight="1" thickTop="1" thickBot="1" x14ac:dyDescent="0.45">
      <c r="A492" s="40" t="s">
        <v>3087</v>
      </c>
      <c r="B492" s="3" t="s">
        <v>3088</v>
      </c>
      <c r="C492" s="3">
        <v>589</v>
      </c>
      <c r="D492" s="23">
        <v>36911</v>
      </c>
      <c r="E492" s="3" t="s">
        <v>1</v>
      </c>
      <c r="F492" s="3" t="s">
        <v>1239</v>
      </c>
      <c r="G492" s="3">
        <v>3</v>
      </c>
      <c r="H492" s="3" t="s">
        <v>18</v>
      </c>
      <c r="K492" s="43" t="s">
        <v>988</v>
      </c>
      <c r="L492" s="61">
        <v>44728</v>
      </c>
      <c r="M492" s="23">
        <v>44966</v>
      </c>
      <c r="N492" s="23">
        <v>44728</v>
      </c>
      <c r="O492" s="23">
        <v>44748</v>
      </c>
      <c r="P492" s="23">
        <v>44519</v>
      </c>
      <c r="Q492" s="23">
        <v>45344</v>
      </c>
      <c r="R492" s="23">
        <v>45523</v>
      </c>
      <c r="S492" s="23">
        <v>45693</v>
      </c>
      <c r="T492" s="23">
        <v>46053</v>
      </c>
    </row>
    <row r="493" spans="1:22" ht="24" customHeight="1" thickTop="1" thickBot="1" x14ac:dyDescent="0.45">
      <c r="A493" s="40" t="s">
        <v>3089</v>
      </c>
      <c r="B493" s="3" t="s">
        <v>3090</v>
      </c>
      <c r="C493" s="3">
        <v>315</v>
      </c>
      <c r="D493" s="23">
        <v>33413</v>
      </c>
      <c r="E493" s="3" t="s">
        <v>1</v>
      </c>
      <c r="F493" s="3" t="s">
        <v>1239</v>
      </c>
      <c r="G493" s="3">
        <v>3</v>
      </c>
      <c r="H493" s="3" t="s">
        <v>18</v>
      </c>
      <c r="K493" s="23" t="s">
        <v>1123</v>
      </c>
      <c r="M493" s="23">
        <v>44102</v>
      </c>
      <c r="N493" s="23">
        <v>44387</v>
      </c>
    </row>
    <row r="494" spans="1:22" ht="24" customHeight="1" thickTop="1" thickBot="1" x14ac:dyDescent="0.45">
      <c r="A494" s="40" t="s">
        <v>3091</v>
      </c>
      <c r="B494" s="3" t="s">
        <v>3092</v>
      </c>
      <c r="C494" s="3">
        <v>308</v>
      </c>
      <c r="D494" s="23">
        <v>35749</v>
      </c>
      <c r="E494" s="3" t="s">
        <v>1</v>
      </c>
      <c r="F494" s="3" t="s">
        <v>1239</v>
      </c>
      <c r="G494" s="3">
        <v>3</v>
      </c>
      <c r="H494" s="3" t="s">
        <v>18</v>
      </c>
      <c r="K494" s="23" t="s">
        <v>1140</v>
      </c>
      <c r="M494" s="23">
        <v>43983</v>
      </c>
      <c r="N494" s="23">
        <v>44387</v>
      </c>
    </row>
    <row r="495" spans="1:22" ht="24" customHeight="1" thickTop="1" thickBot="1" x14ac:dyDescent="0.45">
      <c r="A495" s="40" t="s">
        <v>3093</v>
      </c>
      <c r="B495" s="3" t="s">
        <v>3094</v>
      </c>
      <c r="C495" s="3">
        <v>240</v>
      </c>
      <c r="D495" s="23">
        <v>33595</v>
      </c>
      <c r="E495" s="3" t="s">
        <v>1</v>
      </c>
      <c r="F495" s="3" t="s">
        <v>1239</v>
      </c>
      <c r="G495" s="3">
        <v>3</v>
      </c>
      <c r="H495" s="3" t="s">
        <v>18</v>
      </c>
      <c r="K495" s="23" t="s">
        <v>1128</v>
      </c>
      <c r="M495" s="23">
        <v>43398</v>
      </c>
      <c r="N495" s="23">
        <v>44387</v>
      </c>
    </row>
    <row r="496" spans="1:22" ht="24" customHeight="1" thickTop="1" thickBot="1" x14ac:dyDescent="0.45">
      <c r="A496" s="40" t="s">
        <v>3095</v>
      </c>
      <c r="B496" s="3">
        <v>595935</v>
      </c>
      <c r="C496" s="3">
        <v>191</v>
      </c>
      <c r="D496" s="23">
        <v>35061</v>
      </c>
      <c r="E496" s="3" t="s">
        <v>1</v>
      </c>
      <c r="F496" s="3" t="s">
        <v>6</v>
      </c>
      <c r="G496" s="3">
        <v>3</v>
      </c>
      <c r="H496" s="3" t="s">
        <v>18</v>
      </c>
      <c r="K496" s="23" t="s">
        <v>3096</v>
      </c>
      <c r="L496" s="23">
        <v>43216</v>
      </c>
      <c r="M496" s="23">
        <v>43299</v>
      </c>
      <c r="N496" s="23">
        <v>44387</v>
      </c>
      <c r="S496" s="23">
        <v>44557</v>
      </c>
      <c r="T496" s="23" t="s">
        <v>2371</v>
      </c>
    </row>
    <row r="497" spans="1:20" ht="24" customHeight="1" thickTop="1" thickBot="1" x14ac:dyDescent="0.45">
      <c r="A497" s="40" t="s">
        <v>11</v>
      </c>
      <c r="B497" s="3" t="s">
        <v>3097</v>
      </c>
      <c r="C497" s="3">
        <v>273</v>
      </c>
      <c r="D497" s="23">
        <v>33526</v>
      </c>
      <c r="E497" s="3" t="s">
        <v>1</v>
      </c>
      <c r="F497" s="3" t="s">
        <v>6</v>
      </c>
      <c r="G497" s="3">
        <v>3</v>
      </c>
      <c r="H497" s="3" t="s">
        <v>18</v>
      </c>
      <c r="K497" s="43" t="s">
        <v>1134</v>
      </c>
      <c r="L497" s="61">
        <v>43567</v>
      </c>
      <c r="M497" s="23">
        <v>43567</v>
      </c>
      <c r="R497" s="23">
        <v>44495</v>
      </c>
      <c r="S497" s="23" t="s">
        <v>3098</v>
      </c>
      <c r="T497" s="23">
        <v>44684</v>
      </c>
    </row>
    <row r="498" spans="1:20" ht="24" customHeight="1" thickTop="1" thickBot="1" x14ac:dyDescent="0.45">
      <c r="A498" s="40" t="s">
        <v>3099</v>
      </c>
      <c r="B498" s="3" t="s">
        <v>3100</v>
      </c>
      <c r="C498" s="3">
        <v>457</v>
      </c>
      <c r="D498" s="23">
        <v>34918</v>
      </c>
      <c r="E498" s="3" t="s">
        <v>1</v>
      </c>
      <c r="F498" s="3" t="s">
        <v>6</v>
      </c>
      <c r="G498" s="3">
        <v>3</v>
      </c>
      <c r="H498" s="3" t="s">
        <v>18</v>
      </c>
      <c r="K498" s="43" t="s">
        <v>1174</v>
      </c>
      <c r="L498" s="61"/>
      <c r="M498" s="23">
        <v>44535</v>
      </c>
      <c r="N498" s="23">
        <v>44541</v>
      </c>
    </row>
    <row r="499" spans="1:20" ht="24" customHeight="1" thickTop="1" thickBot="1" x14ac:dyDescent="0.45">
      <c r="A499" s="40" t="s">
        <v>3101</v>
      </c>
      <c r="B499" s="3" t="s">
        <v>3102</v>
      </c>
      <c r="C499" s="3">
        <v>227</v>
      </c>
      <c r="D499" s="23">
        <v>34672</v>
      </c>
      <c r="E499" s="3" t="s">
        <v>1</v>
      </c>
      <c r="F499" s="3" t="s">
        <v>6</v>
      </c>
      <c r="G499" s="3">
        <v>3</v>
      </c>
      <c r="H499" s="3" t="s">
        <v>18</v>
      </c>
      <c r="K499" s="23" t="s">
        <v>1125</v>
      </c>
      <c r="M499" s="23">
        <v>43349</v>
      </c>
    </row>
    <row r="500" spans="1:20" ht="24" customHeight="1" thickTop="1" thickBot="1" x14ac:dyDescent="0.45">
      <c r="A500" s="40" t="s">
        <v>3103</v>
      </c>
      <c r="B500" s="3" t="s">
        <v>3104</v>
      </c>
      <c r="C500" s="3">
        <v>318</v>
      </c>
      <c r="D500" s="23">
        <v>33771</v>
      </c>
      <c r="E500" s="3" t="s">
        <v>1</v>
      </c>
      <c r="F500" s="3" t="s">
        <v>6</v>
      </c>
      <c r="G500" s="3">
        <v>3</v>
      </c>
      <c r="H500" s="3" t="s">
        <v>18</v>
      </c>
      <c r="K500" s="43"/>
      <c r="L500" s="61"/>
      <c r="M500" s="23">
        <v>44204</v>
      </c>
      <c r="N500" s="23">
        <v>44387</v>
      </c>
    </row>
    <row r="501" spans="1:20" ht="24" customHeight="1" thickTop="1" thickBot="1" x14ac:dyDescent="0.45">
      <c r="A501" s="40" t="s">
        <v>3105</v>
      </c>
      <c r="B501" s="3" t="s">
        <v>3106</v>
      </c>
      <c r="C501" s="3">
        <v>307</v>
      </c>
      <c r="D501" s="23">
        <v>33336</v>
      </c>
      <c r="E501" s="3" t="s">
        <v>1</v>
      </c>
      <c r="F501" s="3" t="s">
        <v>6</v>
      </c>
      <c r="G501" s="3">
        <v>3</v>
      </c>
      <c r="H501" s="3" t="s">
        <v>18</v>
      </c>
      <c r="K501" s="23" t="s">
        <v>1139</v>
      </c>
      <c r="M501" s="23">
        <v>43964</v>
      </c>
      <c r="N501" s="23">
        <v>44387</v>
      </c>
    </row>
    <row r="502" spans="1:20" ht="24" customHeight="1" thickTop="1" thickBot="1" x14ac:dyDescent="0.45">
      <c r="A502" s="40" t="s">
        <v>3107</v>
      </c>
      <c r="B502" s="3" t="s">
        <v>3108</v>
      </c>
      <c r="C502" s="3">
        <v>271</v>
      </c>
      <c r="D502" s="23" t="s">
        <v>3749</v>
      </c>
      <c r="E502" s="3" t="s">
        <v>1</v>
      </c>
      <c r="F502" s="3" t="s">
        <v>6</v>
      </c>
      <c r="G502" s="3">
        <v>3</v>
      </c>
      <c r="H502" s="3" t="s">
        <v>18</v>
      </c>
      <c r="M502" s="23">
        <v>43564</v>
      </c>
      <c r="N502" s="23">
        <v>44387</v>
      </c>
    </row>
    <row r="503" spans="1:20" ht="24" customHeight="1" thickTop="1" thickBot="1" x14ac:dyDescent="0.45">
      <c r="A503" s="40" t="s">
        <v>3109</v>
      </c>
      <c r="B503" s="3" t="s">
        <v>3110</v>
      </c>
      <c r="C503" s="3">
        <v>282</v>
      </c>
      <c r="D503" s="23" t="s">
        <v>3749</v>
      </c>
      <c r="E503" s="3" t="s">
        <v>1</v>
      </c>
      <c r="F503" s="3" t="s">
        <v>6</v>
      </c>
      <c r="G503" s="3">
        <v>3</v>
      </c>
      <c r="H503" s="3" t="s">
        <v>18</v>
      </c>
      <c r="M503" s="23">
        <v>43626</v>
      </c>
      <c r="N503" s="23">
        <v>44387</v>
      </c>
    </row>
    <row r="504" spans="1:20" ht="24" customHeight="1" thickTop="1" thickBot="1" x14ac:dyDescent="0.45">
      <c r="A504" s="40" t="s">
        <v>3111</v>
      </c>
      <c r="B504" s="3" t="s">
        <v>3112</v>
      </c>
      <c r="C504" s="3">
        <v>296</v>
      </c>
      <c r="D504" s="23">
        <v>35051</v>
      </c>
      <c r="E504" s="3" t="s">
        <v>1</v>
      </c>
      <c r="F504" s="3" t="s">
        <v>1238</v>
      </c>
      <c r="G504" s="3">
        <v>3</v>
      </c>
      <c r="H504" s="3" t="s">
        <v>18</v>
      </c>
      <c r="K504" s="23" t="s">
        <v>1129</v>
      </c>
      <c r="L504" s="23">
        <v>43530</v>
      </c>
      <c r="M504" s="23">
        <v>43691</v>
      </c>
      <c r="S504" s="23">
        <v>44402</v>
      </c>
      <c r="T504" s="23">
        <v>44656</v>
      </c>
    </row>
    <row r="505" spans="1:20" ht="24" customHeight="1" thickTop="1" thickBot="1" x14ac:dyDescent="0.45">
      <c r="A505" s="40" t="s">
        <v>3113</v>
      </c>
      <c r="B505" s="3" t="s">
        <v>3114</v>
      </c>
      <c r="C505" s="3">
        <v>514</v>
      </c>
      <c r="D505" s="23">
        <v>35083</v>
      </c>
      <c r="E505" s="3" t="s">
        <v>1</v>
      </c>
      <c r="F505" s="3" t="s">
        <v>1238</v>
      </c>
      <c r="G505" s="3">
        <v>3</v>
      </c>
      <c r="H505" s="3" t="s">
        <v>18</v>
      </c>
      <c r="K505" s="23" t="s">
        <v>982</v>
      </c>
      <c r="L505" s="23">
        <v>44623</v>
      </c>
      <c r="M505" s="23">
        <v>44667</v>
      </c>
      <c r="N505" s="23">
        <v>44627</v>
      </c>
      <c r="O505" s="23">
        <v>44627</v>
      </c>
      <c r="P505" s="23">
        <v>44684</v>
      </c>
      <c r="Q505" s="23">
        <v>44849</v>
      </c>
      <c r="S505" s="23">
        <v>45258</v>
      </c>
      <c r="T505" s="23">
        <v>45650</v>
      </c>
    </row>
    <row r="506" spans="1:20" ht="24" customHeight="1" thickTop="1" thickBot="1" x14ac:dyDescent="0.45">
      <c r="A506" s="40" t="s">
        <v>3115</v>
      </c>
      <c r="B506" s="3" t="s">
        <v>3116</v>
      </c>
      <c r="C506" s="3">
        <v>554</v>
      </c>
      <c r="D506" s="23">
        <v>36179</v>
      </c>
      <c r="E506" s="3" t="s">
        <v>1</v>
      </c>
      <c r="F506" s="3" t="s">
        <v>1238</v>
      </c>
      <c r="G506" s="3">
        <v>3</v>
      </c>
      <c r="H506" s="3" t="s">
        <v>18</v>
      </c>
      <c r="K506" s="43" t="s">
        <v>1200</v>
      </c>
      <c r="L506" s="61">
        <v>44760</v>
      </c>
      <c r="M506" s="23">
        <v>44835</v>
      </c>
      <c r="N506" s="23">
        <v>44769</v>
      </c>
      <c r="P506" s="23">
        <v>44849</v>
      </c>
      <c r="Q506" s="23">
        <v>44974</v>
      </c>
      <c r="R506" s="23">
        <v>45103</v>
      </c>
      <c r="S506" s="23">
        <v>45258</v>
      </c>
      <c r="T506" s="23">
        <v>45650</v>
      </c>
    </row>
    <row r="507" spans="1:20" ht="24" customHeight="1" thickTop="1" thickBot="1" x14ac:dyDescent="0.45">
      <c r="A507" s="40" t="s">
        <v>3117</v>
      </c>
      <c r="B507" s="3" t="s">
        <v>3118</v>
      </c>
      <c r="C507" s="3">
        <v>214</v>
      </c>
      <c r="D507" s="23">
        <v>34414</v>
      </c>
      <c r="E507" s="3" t="s">
        <v>1</v>
      </c>
      <c r="F507" s="3" t="s">
        <v>1238</v>
      </c>
      <c r="G507" s="3">
        <v>3</v>
      </c>
      <c r="H507" s="3" t="s">
        <v>18</v>
      </c>
      <c r="K507" s="23" t="s">
        <v>1199</v>
      </c>
      <c r="M507" s="23">
        <v>43304</v>
      </c>
      <c r="N507" s="23">
        <v>44748</v>
      </c>
      <c r="S507" s="23">
        <v>44748</v>
      </c>
    </row>
    <row r="508" spans="1:20" ht="24" customHeight="1" thickTop="1" thickBot="1" x14ac:dyDescent="0.45">
      <c r="A508" s="40" t="s">
        <v>3119</v>
      </c>
      <c r="B508" s="3" t="s">
        <v>3120</v>
      </c>
      <c r="C508" s="3">
        <v>295</v>
      </c>
      <c r="D508" s="23">
        <v>33746</v>
      </c>
      <c r="E508" s="3" t="s">
        <v>1</v>
      </c>
      <c r="F508" s="3" t="s">
        <v>1238</v>
      </c>
      <c r="G508" s="3">
        <v>3</v>
      </c>
      <c r="H508" s="3" t="s">
        <v>18</v>
      </c>
      <c r="K508" s="23" t="s">
        <v>972</v>
      </c>
      <c r="L508" s="23">
        <v>43684</v>
      </c>
      <c r="M508" s="23">
        <v>43684</v>
      </c>
      <c r="N508" s="23">
        <v>44387</v>
      </c>
      <c r="R508" s="23">
        <v>44387</v>
      </c>
      <c r="S508" s="23">
        <v>45344</v>
      </c>
      <c r="T508" s="23">
        <v>45985</v>
      </c>
    </row>
    <row r="509" spans="1:20" ht="24" customHeight="1" thickTop="1" thickBot="1" x14ac:dyDescent="0.45">
      <c r="A509" s="40" t="s">
        <v>3121</v>
      </c>
      <c r="B509" s="3" t="s">
        <v>3122</v>
      </c>
      <c r="C509" s="3">
        <v>250</v>
      </c>
      <c r="D509" s="23" t="s">
        <v>3749</v>
      </c>
      <c r="E509" s="3" t="s">
        <v>1</v>
      </c>
      <c r="F509" s="3" t="s">
        <v>1238</v>
      </c>
      <c r="G509" s="3">
        <v>3</v>
      </c>
      <c r="H509" s="3" t="s">
        <v>18</v>
      </c>
      <c r="K509" s="23" t="s">
        <v>29</v>
      </c>
      <c r="M509" s="23">
        <v>43516</v>
      </c>
      <c r="N509" s="23">
        <v>44387</v>
      </c>
    </row>
    <row r="510" spans="1:20" ht="24" customHeight="1" thickTop="1" thickBot="1" x14ac:dyDescent="0.45">
      <c r="A510" s="40" t="s">
        <v>3123</v>
      </c>
      <c r="B510" s="3" t="s">
        <v>3124</v>
      </c>
      <c r="C510" s="3">
        <v>241</v>
      </c>
      <c r="D510" s="23" t="s">
        <v>3749</v>
      </c>
      <c r="E510" s="3" t="s">
        <v>1</v>
      </c>
      <c r="F510" s="3" t="s">
        <v>1238</v>
      </c>
      <c r="G510" s="3">
        <v>3</v>
      </c>
      <c r="H510" s="3" t="s">
        <v>18</v>
      </c>
      <c r="K510" s="43"/>
      <c r="L510" s="61"/>
      <c r="M510" s="23">
        <v>43407</v>
      </c>
      <c r="N510" s="23">
        <v>44387</v>
      </c>
    </row>
    <row r="511" spans="1:20" ht="24" customHeight="1" thickTop="1" thickBot="1" x14ac:dyDescent="0.45">
      <c r="A511" s="40" t="s">
        <v>3125</v>
      </c>
      <c r="B511" s="3" t="s">
        <v>3126</v>
      </c>
      <c r="C511" s="3">
        <v>418</v>
      </c>
      <c r="D511" s="23">
        <v>36451</v>
      </c>
      <c r="E511" s="3" t="s">
        <v>1</v>
      </c>
      <c r="F511" s="3" t="s">
        <v>1238</v>
      </c>
      <c r="G511" s="3">
        <v>3</v>
      </c>
      <c r="H511" s="3" t="s">
        <v>18</v>
      </c>
      <c r="K511" s="23" t="s">
        <v>1162</v>
      </c>
      <c r="M511" s="23">
        <v>44436</v>
      </c>
      <c r="N511" s="23">
        <v>44442</v>
      </c>
    </row>
    <row r="512" spans="1:20" ht="24" customHeight="1" thickTop="1" thickBot="1" x14ac:dyDescent="0.45">
      <c r="A512" s="40" t="s">
        <v>3127</v>
      </c>
      <c r="B512" s="3" t="s">
        <v>3128</v>
      </c>
      <c r="C512" s="3">
        <v>196</v>
      </c>
      <c r="D512" s="23">
        <v>34403</v>
      </c>
      <c r="E512" s="3" t="s">
        <v>1</v>
      </c>
      <c r="F512" s="3" t="s">
        <v>1238</v>
      </c>
      <c r="G512" s="3">
        <v>3</v>
      </c>
      <c r="H512" s="3" t="s">
        <v>18</v>
      </c>
      <c r="K512" s="43" t="s">
        <v>99</v>
      </c>
      <c r="L512" s="61"/>
      <c r="M512" s="23">
        <v>43299</v>
      </c>
      <c r="N512" s="23">
        <v>44387</v>
      </c>
    </row>
    <row r="513" spans="1:20" ht="24" customHeight="1" thickTop="1" thickBot="1" x14ac:dyDescent="0.45">
      <c r="A513" s="40" t="s">
        <v>3129</v>
      </c>
      <c r="B513" s="3" t="s">
        <v>3130</v>
      </c>
      <c r="C513" s="3">
        <v>222</v>
      </c>
      <c r="D513" s="23">
        <v>34073</v>
      </c>
      <c r="E513" s="3" t="s">
        <v>1</v>
      </c>
      <c r="F513" s="3" t="s">
        <v>1238</v>
      </c>
      <c r="G513" s="3">
        <v>3</v>
      </c>
      <c r="H513" s="3" t="s">
        <v>18</v>
      </c>
      <c r="K513" s="23" t="s">
        <v>1122</v>
      </c>
      <c r="M513" s="23">
        <v>43333</v>
      </c>
      <c r="N513" s="23">
        <v>44387</v>
      </c>
    </row>
    <row r="514" spans="1:20" ht="24" customHeight="1" thickTop="1" thickBot="1" x14ac:dyDescent="0.45">
      <c r="A514" s="40" t="s">
        <v>3131</v>
      </c>
      <c r="B514" s="3" t="s">
        <v>3132</v>
      </c>
      <c r="C514" s="3">
        <v>290</v>
      </c>
      <c r="D514" s="23" t="s">
        <v>3749</v>
      </c>
      <c r="E514" s="3" t="s">
        <v>1</v>
      </c>
      <c r="F514" s="3" t="s">
        <v>1238</v>
      </c>
      <c r="G514" s="3">
        <v>3</v>
      </c>
      <c r="H514" s="3" t="s">
        <v>18</v>
      </c>
      <c r="M514" s="23">
        <v>43648</v>
      </c>
      <c r="N514" s="23">
        <v>44387</v>
      </c>
    </row>
    <row r="515" spans="1:20" ht="24" customHeight="1" thickTop="1" thickBot="1" x14ac:dyDescent="0.45">
      <c r="A515" s="40" t="s">
        <v>3133</v>
      </c>
      <c r="B515" s="3" t="s">
        <v>3134</v>
      </c>
      <c r="C515" s="3">
        <v>536</v>
      </c>
      <c r="D515" s="23">
        <v>36060</v>
      </c>
      <c r="E515" s="3" t="s">
        <v>1</v>
      </c>
      <c r="F515" s="3" t="s">
        <v>1239</v>
      </c>
      <c r="G515" s="3">
        <v>4</v>
      </c>
      <c r="H515" s="3" t="s">
        <v>18</v>
      </c>
      <c r="K515" s="23" t="s">
        <v>985</v>
      </c>
      <c r="L515" s="23">
        <v>44742</v>
      </c>
      <c r="M515" s="23">
        <v>44759</v>
      </c>
      <c r="N515" s="23">
        <v>44748</v>
      </c>
      <c r="O515" s="23">
        <v>44769</v>
      </c>
      <c r="P515" s="23">
        <v>44978</v>
      </c>
      <c r="Q515" s="23">
        <v>45049</v>
      </c>
      <c r="R515" s="23">
        <v>45272</v>
      </c>
      <c r="S515" s="23">
        <v>45802</v>
      </c>
    </row>
    <row r="516" spans="1:20" ht="24" customHeight="1" thickTop="1" thickBot="1" x14ac:dyDescent="0.45">
      <c r="A516" s="40" t="s">
        <v>3135</v>
      </c>
      <c r="B516" s="3" t="s">
        <v>3136</v>
      </c>
      <c r="C516" s="3">
        <v>520</v>
      </c>
      <c r="D516" s="23">
        <v>35581</v>
      </c>
      <c r="E516" s="3" t="s">
        <v>1</v>
      </c>
      <c r="F516" s="3" t="s">
        <v>1239</v>
      </c>
      <c r="G516" s="3">
        <v>4</v>
      </c>
      <c r="H516" s="3" t="s">
        <v>18</v>
      </c>
      <c r="K516" s="23" t="s">
        <v>983</v>
      </c>
      <c r="L516" s="23">
        <v>44403</v>
      </c>
      <c r="M516" s="23">
        <v>44714</v>
      </c>
      <c r="N516" s="23">
        <v>44404</v>
      </c>
      <c r="O516" s="23">
        <v>44474</v>
      </c>
      <c r="P516" s="23">
        <v>44508</v>
      </c>
      <c r="Q516" s="23">
        <v>44569</v>
      </c>
      <c r="R516" s="23">
        <v>45197</v>
      </c>
      <c r="S516" s="23">
        <v>45330</v>
      </c>
    </row>
    <row r="517" spans="1:20" ht="24" customHeight="1" thickTop="1" thickBot="1" x14ac:dyDescent="0.45">
      <c r="A517" s="40" t="s">
        <v>3137</v>
      </c>
      <c r="B517" s="3" t="s">
        <v>3138</v>
      </c>
      <c r="C517" s="3">
        <v>322</v>
      </c>
      <c r="D517" s="23">
        <v>35709</v>
      </c>
      <c r="E517" s="3" t="s">
        <v>1</v>
      </c>
      <c r="F517" s="3" t="s">
        <v>1239</v>
      </c>
      <c r="G517" s="3">
        <v>4</v>
      </c>
      <c r="H517" s="3" t="s">
        <v>18</v>
      </c>
      <c r="K517" s="23" t="s">
        <v>1148</v>
      </c>
      <c r="L517" s="23">
        <v>44231</v>
      </c>
      <c r="M517" s="23">
        <v>44268</v>
      </c>
      <c r="N517" s="23">
        <v>44387</v>
      </c>
      <c r="R517" s="23">
        <v>44387</v>
      </c>
      <c r="S517" s="23">
        <v>45215</v>
      </c>
    </row>
    <row r="518" spans="1:20" ht="24" customHeight="1" thickTop="1" thickBot="1" x14ac:dyDescent="0.45">
      <c r="A518" s="40" t="s">
        <v>3139</v>
      </c>
      <c r="B518" s="3" t="s">
        <v>3140</v>
      </c>
      <c r="C518" s="3">
        <v>263</v>
      </c>
      <c r="D518" s="23" t="s">
        <v>3749</v>
      </c>
      <c r="E518" s="3" t="s">
        <v>1</v>
      </c>
      <c r="F518" s="3" t="s">
        <v>1239</v>
      </c>
      <c r="G518" s="3">
        <v>4</v>
      </c>
      <c r="H518" s="3" t="s">
        <v>18</v>
      </c>
      <c r="M518" s="23">
        <v>43557</v>
      </c>
    </row>
    <row r="519" spans="1:20" ht="24" customHeight="1" thickTop="1" thickBot="1" x14ac:dyDescent="0.45">
      <c r="A519" s="40" t="s">
        <v>3141</v>
      </c>
      <c r="B519" s="3" t="s">
        <v>3142</v>
      </c>
      <c r="C519" s="3">
        <v>328</v>
      </c>
      <c r="D519" s="23" t="s">
        <v>3749</v>
      </c>
      <c r="E519" s="3" t="s">
        <v>1</v>
      </c>
      <c r="F519" s="3" t="s">
        <v>1239</v>
      </c>
      <c r="G519" s="3">
        <v>4</v>
      </c>
      <c r="H519" s="3" t="s">
        <v>18</v>
      </c>
      <c r="K519" s="23" t="s">
        <v>1144</v>
      </c>
      <c r="M519" s="23">
        <v>44268</v>
      </c>
    </row>
    <row r="520" spans="1:20" ht="24" customHeight="1" thickTop="1" thickBot="1" x14ac:dyDescent="0.45">
      <c r="A520" s="40" t="s">
        <v>3143</v>
      </c>
      <c r="B520" s="3" t="s">
        <v>3144</v>
      </c>
      <c r="C520" s="3">
        <v>528</v>
      </c>
      <c r="D520" s="23">
        <v>35471</v>
      </c>
      <c r="E520" s="3" t="s">
        <v>1</v>
      </c>
      <c r="F520" s="3" t="s">
        <v>6</v>
      </c>
      <c r="G520" s="3">
        <v>4</v>
      </c>
      <c r="H520" s="3" t="s">
        <v>18</v>
      </c>
      <c r="K520" s="43" t="s">
        <v>1193</v>
      </c>
      <c r="L520" s="61">
        <v>44717</v>
      </c>
      <c r="M520" s="23">
        <v>44735</v>
      </c>
      <c r="N520" s="23">
        <v>44728</v>
      </c>
      <c r="O520" s="23">
        <v>44748</v>
      </c>
      <c r="P520" s="23">
        <v>44925</v>
      </c>
      <c r="Q520" s="23">
        <v>45103</v>
      </c>
      <c r="R520" s="23">
        <v>45258</v>
      </c>
      <c r="S520" s="23">
        <v>45523</v>
      </c>
    </row>
    <row r="521" spans="1:20" ht="24" customHeight="1" thickTop="1" thickBot="1" x14ac:dyDescent="0.45">
      <c r="A521" s="40" t="s">
        <v>3145</v>
      </c>
      <c r="B521" s="3" t="s">
        <v>3146</v>
      </c>
      <c r="C521" s="3">
        <v>353</v>
      </c>
      <c r="D521" s="23">
        <v>32554</v>
      </c>
      <c r="E521" s="3" t="s">
        <v>1</v>
      </c>
      <c r="F521" s="3" t="s">
        <v>6</v>
      </c>
      <c r="G521" s="3">
        <v>4</v>
      </c>
      <c r="H521" s="3" t="s">
        <v>18</v>
      </c>
      <c r="K521" s="23" t="s">
        <v>3147</v>
      </c>
      <c r="M521" s="23">
        <v>44322</v>
      </c>
      <c r="N521" s="23">
        <v>44390</v>
      </c>
      <c r="R521" s="23">
        <v>44390</v>
      </c>
      <c r="S521" s="23">
        <v>45460</v>
      </c>
    </row>
    <row r="522" spans="1:20" ht="24" customHeight="1" thickTop="1" thickBot="1" x14ac:dyDescent="0.45">
      <c r="A522" s="40" t="s">
        <v>3148</v>
      </c>
      <c r="B522" s="3" t="s">
        <v>3149</v>
      </c>
      <c r="C522" s="3">
        <v>199</v>
      </c>
      <c r="D522" s="23">
        <v>33615</v>
      </c>
      <c r="E522" s="3" t="s">
        <v>1</v>
      </c>
      <c r="F522" s="3" t="s">
        <v>6</v>
      </c>
      <c r="G522" s="3">
        <v>4</v>
      </c>
      <c r="H522" s="3" t="s">
        <v>18</v>
      </c>
      <c r="K522" s="23" t="s">
        <v>1121</v>
      </c>
      <c r="L522" s="23">
        <v>43301</v>
      </c>
      <c r="M522" s="23">
        <v>43301</v>
      </c>
      <c r="N522" s="23">
        <v>44387</v>
      </c>
      <c r="R522" s="23">
        <v>44543</v>
      </c>
      <c r="S522" s="23" t="s">
        <v>3150</v>
      </c>
      <c r="T522" s="23">
        <v>44387</v>
      </c>
    </row>
    <row r="523" spans="1:20" ht="24" customHeight="1" thickTop="1" thickBot="1" x14ac:dyDescent="0.45">
      <c r="A523" s="40" t="s">
        <v>3151</v>
      </c>
      <c r="B523" s="3" t="s">
        <v>3152</v>
      </c>
      <c r="C523" s="3">
        <v>224</v>
      </c>
      <c r="D523" s="23" t="s">
        <v>3749</v>
      </c>
      <c r="E523" s="3" t="s">
        <v>1</v>
      </c>
      <c r="F523" s="3" t="s">
        <v>6</v>
      </c>
      <c r="G523" s="3">
        <v>4</v>
      </c>
      <c r="H523" s="3" t="s">
        <v>18</v>
      </c>
      <c r="K523" s="23" t="s">
        <v>1114</v>
      </c>
      <c r="M523" s="23">
        <v>43334</v>
      </c>
    </row>
    <row r="524" spans="1:20" ht="24" customHeight="1" thickTop="1" thickBot="1" x14ac:dyDescent="0.45">
      <c r="A524" s="40" t="s">
        <v>3153</v>
      </c>
      <c r="B524" s="3" t="s">
        <v>3154</v>
      </c>
      <c r="C524" s="3">
        <v>299</v>
      </c>
      <c r="D524" s="23" t="s">
        <v>3749</v>
      </c>
      <c r="E524" s="3" t="s">
        <v>1</v>
      </c>
      <c r="F524" s="3" t="s">
        <v>6</v>
      </c>
      <c r="G524" s="3">
        <v>4</v>
      </c>
      <c r="H524" s="3" t="s">
        <v>18</v>
      </c>
      <c r="K524" s="43" t="s">
        <v>1116</v>
      </c>
      <c r="L524" s="61"/>
      <c r="M524" s="23">
        <v>43716</v>
      </c>
    </row>
    <row r="525" spans="1:20" ht="24" customHeight="1" thickTop="1" thickBot="1" x14ac:dyDescent="0.45">
      <c r="A525" s="40" t="s">
        <v>3155</v>
      </c>
      <c r="B525" s="3" t="s">
        <v>3156</v>
      </c>
      <c r="C525" s="3">
        <v>549</v>
      </c>
      <c r="D525" s="23" t="s">
        <v>3749</v>
      </c>
      <c r="E525" s="3" t="s">
        <v>1</v>
      </c>
      <c r="F525" s="3" t="s">
        <v>6</v>
      </c>
      <c r="G525" s="3">
        <v>4</v>
      </c>
      <c r="H525" s="3" t="s">
        <v>18</v>
      </c>
      <c r="K525" s="23" t="s">
        <v>1201</v>
      </c>
      <c r="M525" s="23">
        <v>44787</v>
      </c>
      <c r="N525" s="23">
        <v>44775</v>
      </c>
      <c r="O525" s="23">
        <v>44775</v>
      </c>
    </row>
    <row r="526" spans="1:20" ht="24" customHeight="1" thickTop="1" thickBot="1" x14ac:dyDescent="0.45">
      <c r="A526" s="40" t="s">
        <v>3157</v>
      </c>
      <c r="B526" s="3" t="s">
        <v>3158</v>
      </c>
      <c r="C526" s="3">
        <v>276</v>
      </c>
      <c r="D526" s="23" t="s">
        <v>3749</v>
      </c>
      <c r="E526" s="3" t="s">
        <v>1</v>
      </c>
      <c r="F526" s="3" t="s">
        <v>6</v>
      </c>
      <c r="G526" s="3">
        <v>4</v>
      </c>
      <c r="H526" s="3" t="s">
        <v>18</v>
      </c>
      <c r="M526" s="23">
        <v>43573</v>
      </c>
      <c r="N526" s="23">
        <v>44513</v>
      </c>
      <c r="R526" s="23">
        <v>44513</v>
      </c>
    </row>
    <row r="527" spans="1:20" ht="24" customHeight="1" thickTop="1" thickBot="1" x14ac:dyDescent="0.45">
      <c r="A527" s="40" t="s">
        <v>3159</v>
      </c>
      <c r="B527" s="3" t="s">
        <v>3160</v>
      </c>
      <c r="C527" s="3">
        <v>294</v>
      </c>
      <c r="D527" s="23">
        <v>34639</v>
      </c>
      <c r="E527" s="3" t="s">
        <v>1</v>
      </c>
      <c r="F527" s="3" t="s">
        <v>6</v>
      </c>
      <c r="G527" s="3">
        <v>4</v>
      </c>
      <c r="H527" s="3" t="s">
        <v>18</v>
      </c>
      <c r="K527" s="23" t="s">
        <v>29</v>
      </c>
      <c r="M527" s="23">
        <v>43673</v>
      </c>
    </row>
    <row r="528" spans="1:20" ht="24" customHeight="1" thickTop="1" thickBot="1" x14ac:dyDescent="0.45">
      <c r="A528" s="40" t="s">
        <v>3161</v>
      </c>
      <c r="B528" s="3" t="s">
        <v>3162</v>
      </c>
      <c r="C528" s="3">
        <v>591</v>
      </c>
      <c r="D528" s="23">
        <v>35268</v>
      </c>
      <c r="E528" s="3" t="s">
        <v>1</v>
      </c>
      <c r="F528" s="3" t="s">
        <v>1238</v>
      </c>
      <c r="G528" s="3">
        <v>4</v>
      </c>
      <c r="H528" s="3" t="s">
        <v>18</v>
      </c>
      <c r="K528" s="23" t="s">
        <v>3163</v>
      </c>
      <c r="L528" s="23">
        <v>44945</v>
      </c>
      <c r="M528" s="23">
        <v>44972</v>
      </c>
      <c r="N528" s="23">
        <v>44958</v>
      </c>
      <c r="O528" s="23">
        <v>44994</v>
      </c>
      <c r="P528" s="23">
        <v>45117</v>
      </c>
      <c r="Q528" s="23">
        <v>45197</v>
      </c>
      <c r="R528" s="23">
        <v>45427</v>
      </c>
      <c r="S528" s="23">
        <v>46019</v>
      </c>
    </row>
    <row r="529" spans="1:19" ht="24" customHeight="1" thickTop="1" thickBot="1" x14ac:dyDescent="0.45">
      <c r="A529" s="40" t="s">
        <v>3164</v>
      </c>
      <c r="B529" s="3" t="s">
        <v>3165</v>
      </c>
      <c r="C529" s="3">
        <v>213</v>
      </c>
      <c r="D529" s="23">
        <v>35765</v>
      </c>
      <c r="E529" s="3" t="s">
        <v>1</v>
      </c>
      <c r="F529" s="3" t="s">
        <v>1238</v>
      </c>
      <c r="G529" s="3">
        <v>4</v>
      </c>
      <c r="H529" s="3" t="s">
        <v>18</v>
      </c>
      <c r="K529" s="23" t="s">
        <v>3166</v>
      </c>
      <c r="M529" s="23">
        <v>43303</v>
      </c>
      <c r="N529" s="23">
        <v>44748</v>
      </c>
      <c r="S529" s="23">
        <v>44748</v>
      </c>
    </row>
    <row r="530" spans="1:19" ht="24" customHeight="1" thickTop="1" thickBot="1" x14ac:dyDescent="0.45">
      <c r="A530" s="40" t="s">
        <v>3167</v>
      </c>
      <c r="B530" s="3" t="s">
        <v>3168</v>
      </c>
      <c r="C530" s="3">
        <v>236</v>
      </c>
      <c r="D530" s="23">
        <v>32906</v>
      </c>
      <c r="E530" s="3" t="s">
        <v>1</v>
      </c>
      <c r="F530" s="3" t="s">
        <v>1238</v>
      </c>
      <c r="G530" s="3">
        <v>4</v>
      </c>
      <c r="H530" s="3" t="s">
        <v>18</v>
      </c>
      <c r="K530" s="43" t="s">
        <v>969</v>
      </c>
      <c r="L530" s="61">
        <v>43319</v>
      </c>
      <c r="M530" s="23">
        <v>43379</v>
      </c>
      <c r="N530" s="23">
        <v>44728</v>
      </c>
      <c r="O530" s="23">
        <v>44728</v>
      </c>
      <c r="P530" s="23">
        <v>44748</v>
      </c>
      <c r="Q530" s="23">
        <v>44849</v>
      </c>
      <c r="R530" s="23">
        <v>45151</v>
      </c>
      <c r="S530" s="23">
        <v>45258</v>
      </c>
    </row>
    <row r="531" spans="1:19" ht="24" customHeight="1" thickTop="1" thickBot="1" x14ac:dyDescent="0.45">
      <c r="A531" s="40" t="s">
        <v>3169</v>
      </c>
      <c r="B531" s="3" t="s">
        <v>3170</v>
      </c>
      <c r="C531" s="3">
        <v>264</v>
      </c>
      <c r="D531" s="23">
        <v>36444</v>
      </c>
      <c r="E531" s="3" t="s">
        <v>1</v>
      </c>
      <c r="F531" s="3" t="s">
        <v>1238</v>
      </c>
      <c r="G531" s="3">
        <v>4</v>
      </c>
      <c r="H531" s="3" t="s">
        <v>18</v>
      </c>
      <c r="K531" s="23" t="s">
        <v>1131</v>
      </c>
      <c r="M531" s="23">
        <v>43557</v>
      </c>
      <c r="N531" s="23">
        <v>44442</v>
      </c>
      <c r="S531" s="23">
        <v>44442</v>
      </c>
    </row>
    <row r="532" spans="1:19" ht="24" customHeight="1" thickTop="1" thickBot="1" x14ac:dyDescent="0.45">
      <c r="A532" s="40" t="s">
        <v>3171</v>
      </c>
      <c r="B532" s="3" t="s">
        <v>3172</v>
      </c>
      <c r="C532" s="3">
        <v>232</v>
      </c>
      <c r="D532" s="23" t="s">
        <v>3749</v>
      </c>
      <c r="E532" s="3" t="s">
        <v>1</v>
      </c>
      <c r="F532" s="3" t="s">
        <v>1238</v>
      </c>
      <c r="G532" s="3">
        <v>4</v>
      </c>
      <c r="H532" s="3" t="s">
        <v>18</v>
      </c>
      <c r="K532" s="43" t="s">
        <v>1127</v>
      </c>
      <c r="L532" s="61"/>
      <c r="M532" s="23">
        <v>43368</v>
      </c>
    </row>
    <row r="533" spans="1:19" ht="24" customHeight="1" thickTop="1" thickBot="1" x14ac:dyDescent="0.45">
      <c r="A533" s="40" t="s">
        <v>3173</v>
      </c>
      <c r="B533" s="3" t="s">
        <v>3174</v>
      </c>
      <c r="C533" s="3">
        <v>426</v>
      </c>
      <c r="D533" s="23">
        <v>32660</v>
      </c>
      <c r="E533" s="3" t="s">
        <v>1</v>
      </c>
      <c r="F533" s="3" t="s">
        <v>1238</v>
      </c>
      <c r="G533" s="3">
        <v>4</v>
      </c>
      <c r="H533" s="3" t="s">
        <v>18</v>
      </c>
      <c r="K533" s="43" t="s">
        <v>1170</v>
      </c>
      <c r="L533" s="61"/>
      <c r="M533" s="23">
        <v>44508</v>
      </c>
      <c r="N533" s="23">
        <v>44513</v>
      </c>
      <c r="S533" s="23">
        <v>44513</v>
      </c>
    </row>
    <row r="534" spans="1:19" ht="24" customHeight="1" thickTop="1" thickBot="1" x14ac:dyDescent="0.45">
      <c r="A534" s="40" t="s">
        <v>3175</v>
      </c>
      <c r="B534" s="3" t="s">
        <v>3176</v>
      </c>
      <c r="C534" s="3">
        <v>219</v>
      </c>
      <c r="D534" s="23">
        <v>32400</v>
      </c>
      <c r="E534" s="3" t="s">
        <v>1</v>
      </c>
      <c r="F534" s="3" t="s">
        <v>1238</v>
      </c>
      <c r="G534" s="3">
        <v>4</v>
      </c>
      <c r="H534" s="3" t="s">
        <v>18</v>
      </c>
      <c r="K534" s="23" t="s">
        <v>1120</v>
      </c>
      <c r="M534" s="23">
        <v>43313</v>
      </c>
    </row>
    <row r="535" spans="1:19" ht="24" customHeight="1" thickTop="1" thickBot="1" x14ac:dyDescent="0.45">
      <c r="A535" s="40" t="s">
        <v>3177</v>
      </c>
      <c r="B535" s="3" t="s">
        <v>3178</v>
      </c>
      <c r="C535" s="3">
        <v>324</v>
      </c>
      <c r="D535" s="23" t="s">
        <v>3749</v>
      </c>
      <c r="E535" s="3" t="s">
        <v>1</v>
      </c>
      <c r="F535" s="3" t="s">
        <v>1238</v>
      </c>
      <c r="G535" s="3">
        <v>4</v>
      </c>
      <c r="H535" s="3" t="s">
        <v>18</v>
      </c>
      <c r="K535" s="23" t="s">
        <v>1147</v>
      </c>
      <c r="M535" s="23">
        <v>44268</v>
      </c>
    </row>
    <row r="536" spans="1:19" ht="24" customHeight="1" thickTop="1" thickBot="1" x14ac:dyDescent="0.45">
      <c r="A536" s="40" t="s">
        <v>3179</v>
      </c>
      <c r="B536" s="3" t="s">
        <v>3180</v>
      </c>
      <c r="C536" s="3">
        <v>267</v>
      </c>
      <c r="D536" s="23" t="s">
        <v>3749</v>
      </c>
      <c r="E536" s="3" t="s">
        <v>1</v>
      </c>
      <c r="F536" s="3" t="s">
        <v>1238</v>
      </c>
      <c r="G536" s="3">
        <v>4</v>
      </c>
      <c r="H536" s="3" t="s">
        <v>18</v>
      </c>
      <c r="K536" s="23" t="s">
        <v>1130</v>
      </c>
      <c r="M536" s="23">
        <v>43561</v>
      </c>
      <c r="N536" s="23">
        <v>44426</v>
      </c>
      <c r="S536" s="23">
        <v>44426</v>
      </c>
    </row>
    <row r="537" spans="1:19" ht="24" customHeight="1" thickTop="1" thickBot="1" x14ac:dyDescent="0.45">
      <c r="A537" s="40" t="s">
        <v>3181</v>
      </c>
      <c r="B537" s="3" t="s">
        <v>3182</v>
      </c>
      <c r="C537" s="3">
        <v>197</v>
      </c>
      <c r="D537" s="23" t="s">
        <v>3749</v>
      </c>
      <c r="E537" s="3" t="s">
        <v>1</v>
      </c>
      <c r="F537" s="3" t="s">
        <v>1238</v>
      </c>
      <c r="G537" s="3">
        <v>4</v>
      </c>
      <c r="H537" s="3" t="s">
        <v>18</v>
      </c>
      <c r="M537" s="23">
        <v>43299</v>
      </c>
    </row>
    <row r="538" spans="1:19" ht="24" customHeight="1" thickTop="1" thickBot="1" x14ac:dyDescent="0.45">
      <c r="A538" s="40" t="s">
        <v>3183</v>
      </c>
      <c r="B538" s="3" t="s">
        <v>3184</v>
      </c>
      <c r="C538" s="3">
        <v>582</v>
      </c>
      <c r="D538" s="23">
        <v>36298</v>
      </c>
      <c r="E538" s="3" t="s">
        <v>1</v>
      </c>
      <c r="F538" s="3" t="s">
        <v>1239</v>
      </c>
      <c r="G538" s="3">
        <v>5</v>
      </c>
      <c r="H538" s="3" t="s">
        <v>18</v>
      </c>
      <c r="K538" s="23" t="s">
        <v>3185</v>
      </c>
      <c r="L538" s="23">
        <v>44951</v>
      </c>
      <c r="M538" s="23">
        <v>44956</v>
      </c>
      <c r="N538" s="23">
        <v>44958</v>
      </c>
      <c r="O538" s="23">
        <v>44994</v>
      </c>
      <c r="P538" s="23">
        <v>45163</v>
      </c>
      <c r="Q538" s="23">
        <v>45330</v>
      </c>
      <c r="R538" s="23">
        <v>46076</v>
      </c>
    </row>
    <row r="539" spans="1:19" ht="24" customHeight="1" thickTop="1" thickBot="1" x14ac:dyDescent="0.45">
      <c r="A539" s="40" t="s">
        <v>3186</v>
      </c>
      <c r="B539" s="3" t="s">
        <v>3187</v>
      </c>
      <c r="C539" s="3">
        <v>441</v>
      </c>
      <c r="D539" s="23">
        <v>33327</v>
      </c>
      <c r="E539" s="3" t="s">
        <v>1</v>
      </c>
      <c r="F539" s="3" t="s">
        <v>1239</v>
      </c>
      <c r="G539" s="3">
        <v>5</v>
      </c>
      <c r="H539" s="3" t="s">
        <v>18</v>
      </c>
      <c r="K539" s="23" t="s">
        <v>1172</v>
      </c>
      <c r="L539" s="23">
        <v>44522</v>
      </c>
      <c r="M539" s="23">
        <v>44523</v>
      </c>
      <c r="N539" s="23">
        <v>44522</v>
      </c>
    </row>
    <row r="540" spans="1:19" ht="24" customHeight="1" thickTop="1" thickBot="1" x14ac:dyDescent="0.45">
      <c r="A540" s="40" t="s">
        <v>3188</v>
      </c>
      <c r="B540" s="3" t="s">
        <v>3189</v>
      </c>
      <c r="C540" s="3">
        <v>330</v>
      </c>
      <c r="D540" s="23">
        <v>34025</v>
      </c>
      <c r="E540" s="3" t="s">
        <v>1</v>
      </c>
      <c r="F540" s="3" t="s">
        <v>1239</v>
      </c>
      <c r="G540" s="3">
        <v>5</v>
      </c>
      <c r="H540" s="3" t="s">
        <v>18</v>
      </c>
      <c r="K540" s="23" t="s">
        <v>1142</v>
      </c>
      <c r="L540" s="23">
        <v>44091</v>
      </c>
      <c r="M540" s="23">
        <v>44268</v>
      </c>
      <c r="N540" s="23">
        <v>44942</v>
      </c>
      <c r="P540" s="23">
        <v>44943</v>
      </c>
      <c r="Q540" s="23">
        <v>45011</v>
      </c>
      <c r="R540" s="23">
        <v>45308</v>
      </c>
    </row>
    <row r="541" spans="1:19" ht="24" customHeight="1" thickTop="1" thickBot="1" x14ac:dyDescent="0.45">
      <c r="A541" s="40" t="s">
        <v>3190</v>
      </c>
      <c r="B541" s="3" t="s">
        <v>3191</v>
      </c>
      <c r="C541" s="3">
        <v>543</v>
      </c>
      <c r="D541" s="23">
        <v>36252</v>
      </c>
      <c r="E541" s="3" t="s">
        <v>1</v>
      </c>
      <c r="F541" s="3" t="s">
        <v>1239</v>
      </c>
      <c r="G541" s="3">
        <v>5</v>
      </c>
      <c r="H541" s="3" t="s">
        <v>18</v>
      </c>
      <c r="K541" s="43" t="s">
        <v>1194</v>
      </c>
      <c r="L541" s="61">
        <v>44728</v>
      </c>
      <c r="M541" s="23">
        <v>44766</v>
      </c>
      <c r="N541" s="23">
        <v>44728</v>
      </c>
      <c r="O541" s="23">
        <v>44748</v>
      </c>
      <c r="P541" s="23">
        <v>44849</v>
      </c>
      <c r="Q541" s="23">
        <v>45103</v>
      </c>
      <c r="R541" s="23">
        <v>45411</v>
      </c>
    </row>
    <row r="542" spans="1:19" ht="24" customHeight="1" thickTop="1" thickBot="1" x14ac:dyDescent="0.45">
      <c r="A542" s="40" t="s">
        <v>3192</v>
      </c>
      <c r="B542" s="3" t="s">
        <v>3193</v>
      </c>
      <c r="C542" s="3">
        <v>284</v>
      </c>
      <c r="D542" s="23">
        <v>35258</v>
      </c>
      <c r="E542" s="3" t="s">
        <v>1</v>
      </c>
      <c r="F542" s="3" t="s">
        <v>1239</v>
      </c>
      <c r="G542" s="3">
        <v>5</v>
      </c>
      <c r="H542" s="3" t="s">
        <v>18</v>
      </c>
      <c r="K542" s="23" t="s">
        <v>1135</v>
      </c>
      <c r="M542" s="23">
        <v>43628</v>
      </c>
    </row>
    <row r="543" spans="1:19" ht="24" customHeight="1" thickTop="1" thickBot="1" x14ac:dyDescent="0.45">
      <c r="A543" s="40" t="s">
        <v>3194</v>
      </c>
      <c r="B543" s="3" t="s">
        <v>3195</v>
      </c>
      <c r="C543" s="3">
        <v>243</v>
      </c>
      <c r="D543" s="23" t="s">
        <v>3749</v>
      </c>
      <c r="E543" s="3" t="s">
        <v>1</v>
      </c>
      <c r="F543" s="3" t="s">
        <v>1239</v>
      </c>
      <c r="G543" s="3">
        <v>5</v>
      </c>
      <c r="H543" s="3" t="s">
        <v>18</v>
      </c>
      <c r="M543" s="23">
        <v>43419</v>
      </c>
      <c r="N543" s="23">
        <v>45258</v>
      </c>
    </row>
    <row r="544" spans="1:19" ht="24" customHeight="1" thickTop="1" thickBot="1" x14ac:dyDescent="0.45">
      <c r="A544" s="40" t="s">
        <v>3196</v>
      </c>
      <c r="B544" s="3" t="s">
        <v>3197</v>
      </c>
      <c r="C544" s="3">
        <v>190</v>
      </c>
      <c r="D544" s="23">
        <v>33355</v>
      </c>
      <c r="E544" s="3" t="s">
        <v>1</v>
      </c>
      <c r="F544" s="3" t="s">
        <v>1239</v>
      </c>
      <c r="G544" s="3">
        <v>5</v>
      </c>
      <c r="H544" s="3" t="s">
        <v>18</v>
      </c>
      <c r="K544" s="23" t="s">
        <v>1184</v>
      </c>
      <c r="M544" s="23">
        <v>43299</v>
      </c>
      <c r="N544" s="23">
        <v>44599</v>
      </c>
      <c r="R544" s="23">
        <v>44599</v>
      </c>
    </row>
    <row r="545" spans="1:19" ht="24" customHeight="1" thickTop="1" thickBot="1" x14ac:dyDescent="0.45">
      <c r="A545" s="40" t="s">
        <v>3198</v>
      </c>
      <c r="B545" s="3" t="s">
        <v>3199</v>
      </c>
      <c r="C545" s="3">
        <v>316</v>
      </c>
      <c r="D545" s="23" t="s">
        <v>3749</v>
      </c>
      <c r="E545" s="3" t="s">
        <v>1</v>
      </c>
      <c r="F545" s="3" t="s">
        <v>1239</v>
      </c>
      <c r="G545" s="3">
        <v>5</v>
      </c>
      <c r="H545" s="3" t="s">
        <v>18</v>
      </c>
      <c r="M545" s="23">
        <v>44114</v>
      </c>
    </row>
    <row r="546" spans="1:19" ht="24" customHeight="1" thickTop="1" thickBot="1" x14ac:dyDescent="0.45">
      <c r="A546" s="40" t="s">
        <v>3200</v>
      </c>
      <c r="B546" s="3" t="s">
        <v>3201</v>
      </c>
      <c r="C546" s="3">
        <v>254</v>
      </c>
      <c r="D546" s="23" t="s">
        <v>3749</v>
      </c>
      <c r="E546" s="3" t="s">
        <v>1</v>
      </c>
      <c r="F546" s="3" t="s">
        <v>1239</v>
      </c>
      <c r="G546" s="3">
        <v>5</v>
      </c>
      <c r="H546" s="3" t="s">
        <v>18</v>
      </c>
      <c r="K546" s="43"/>
      <c r="L546" s="61"/>
      <c r="M546" s="23">
        <v>43544</v>
      </c>
      <c r="N546" s="23">
        <v>44518</v>
      </c>
      <c r="R546" s="23">
        <v>44518</v>
      </c>
    </row>
    <row r="547" spans="1:19" ht="24" customHeight="1" thickTop="1" thickBot="1" x14ac:dyDescent="0.45">
      <c r="A547" s="40" t="s">
        <v>3202</v>
      </c>
      <c r="B547" s="3" t="s">
        <v>3203</v>
      </c>
      <c r="C547" s="3">
        <v>459</v>
      </c>
      <c r="D547" s="23">
        <v>32817</v>
      </c>
      <c r="E547" s="3" t="s">
        <v>1</v>
      </c>
      <c r="F547" s="3" t="s">
        <v>6</v>
      </c>
      <c r="G547" s="3">
        <v>5</v>
      </c>
      <c r="H547" s="3" t="s">
        <v>18</v>
      </c>
      <c r="K547" s="43" t="s">
        <v>1179</v>
      </c>
      <c r="L547" s="61"/>
      <c r="M547" s="23">
        <v>44545</v>
      </c>
      <c r="N547" s="23">
        <v>44551</v>
      </c>
      <c r="O547" s="23">
        <v>44561</v>
      </c>
      <c r="P547" s="23">
        <v>44619</v>
      </c>
      <c r="Q547" s="23">
        <v>44748</v>
      </c>
      <c r="R547" s="23">
        <v>45523</v>
      </c>
    </row>
    <row r="548" spans="1:19" ht="24" customHeight="1" thickTop="1" thickBot="1" x14ac:dyDescent="0.45">
      <c r="A548" s="40" t="s">
        <v>3204</v>
      </c>
      <c r="B548" s="3" t="s">
        <v>3205</v>
      </c>
      <c r="C548" s="3">
        <v>372</v>
      </c>
      <c r="D548" s="23">
        <v>34406</v>
      </c>
      <c r="E548" s="3" t="s">
        <v>1</v>
      </c>
      <c r="F548" s="3" t="s">
        <v>6</v>
      </c>
      <c r="G548" s="3">
        <v>5</v>
      </c>
      <c r="H548" s="3" t="s">
        <v>18</v>
      </c>
      <c r="K548" s="23" t="s">
        <v>3206</v>
      </c>
      <c r="M548" s="23">
        <v>44344</v>
      </c>
    </row>
    <row r="549" spans="1:19" ht="24" customHeight="1" thickTop="1" thickBot="1" x14ac:dyDescent="0.45">
      <c r="A549" s="40" t="s">
        <v>3207</v>
      </c>
      <c r="B549" s="3" t="s">
        <v>3208</v>
      </c>
      <c r="C549" s="3">
        <v>430</v>
      </c>
      <c r="D549" s="23">
        <v>34569</v>
      </c>
      <c r="E549" s="3" t="s">
        <v>1</v>
      </c>
      <c r="F549" s="3" t="s">
        <v>6</v>
      </c>
      <c r="G549" s="3">
        <v>5</v>
      </c>
      <c r="H549" s="3" t="s">
        <v>18</v>
      </c>
      <c r="K549" s="43" t="s">
        <v>3209</v>
      </c>
      <c r="L549" s="61">
        <v>44513</v>
      </c>
      <c r="M549" s="23">
        <v>44514</v>
      </c>
      <c r="N549" s="23">
        <v>44513</v>
      </c>
    </row>
    <row r="550" spans="1:19" ht="24" customHeight="1" thickTop="1" thickBot="1" x14ac:dyDescent="0.45">
      <c r="A550" s="40" t="s">
        <v>3210</v>
      </c>
      <c r="B550" s="3" t="s">
        <v>3211</v>
      </c>
      <c r="C550" s="3">
        <v>410</v>
      </c>
      <c r="D550" s="23">
        <v>33784</v>
      </c>
      <c r="E550" s="3" t="s">
        <v>1</v>
      </c>
      <c r="F550" s="3" t="s">
        <v>6</v>
      </c>
      <c r="G550" s="3">
        <v>5</v>
      </c>
      <c r="H550" s="3" t="s">
        <v>18</v>
      </c>
      <c r="K550" s="23" t="s">
        <v>1163</v>
      </c>
      <c r="M550" s="23">
        <v>44419</v>
      </c>
      <c r="N550" s="23">
        <v>44418</v>
      </c>
      <c r="O550" s="23">
        <v>44418</v>
      </c>
    </row>
    <row r="551" spans="1:19" ht="24" customHeight="1" thickTop="1" thickBot="1" x14ac:dyDescent="0.45">
      <c r="A551" s="40" t="s">
        <v>3212</v>
      </c>
      <c r="B551" s="3" t="s">
        <v>3213</v>
      </c>
      <c r="C551" s="3">
        <v>347</v>
      </c>
      <c r="D551" s="23" t="s">
        <v>3749</v>
      </c>
      <c r="E551" s="3" t="s">
        <v>1</v>
      </c>
      <c r="F551" s="3" t="s">
        <v>6</v>
      </c>
      <c r="G551" s="3">
        <v>5</v>
      </c>
      <c r="H551" s="3" t="s">
        <v>18</v>
      </c>
      <c r="M551" s="23">
        <v>44274</v>
      </c>
    </row>
    <row r="552" spans="1:19" ht="24" customHeight="1" thickTop="1" thickBot="1" x14ac:dyDescent="0.45">
      <c r="A552" s="40" t="s">
        <v>3214</v>
      </c>
      <c r="B552" s="3" t="s">
        <v>3215</v>
      </c>
      <c r="C552" s="3">
        <v>403</v>
      </c>
      <c r="D552" s="23">
        <v>35571</v>
      </c>
      <c r="E552" s="3" t="s">
        <v>1</v>
      </c>
      <c r="F552" s="3" t="s">
        <v>6</v>
      </c>
      <c r="G552" s="3">
        <v>5</v>
      </c>
      <c r="H552" s="3" t="s">
        <v>18</v>
      </c>
      <c r="K552" s="43" t="s">
        <v>101</v>
      </c>
      <c r="L552" s="61">
        <v>44404</v>
      </c>
      <c r="M552" s="23">
        <v>44406</v>
      </c>
      <c r="N552" s="23">
        <v>44404</v>
      </c>
    </row>
    <row r="553" spans="1:19" ht="24" customHeight="1" thickTop="1" thickBot="1" x14ac:dyDescent="0.45">
      <c r="A553" s="40" t="s">
        <v>3216</v>
      </c>
      <c r="B553" s="3" t="s">
        <v>3217</v>
      </c>
      <c r="C553" s="3">
        <v>259</v>
      </c>
      <c r="D553" s="23">
        <v>33590</v>
      </c>
      <c r="E553" s="3" t="s">
        <v>1</v>
      </c>
      <c r="F553" s="3" t="s">
        <v>1238</v>
      </c>
      <c r="G553" s="3">
        <v>5</v>
      </c>
      <c r="H553" s="3" t="s">
        <v>18</v>
      </c>
      <c r="K553" s="23" t="s">
        <v>970</v>
      </c>
      <c r="M553" s="23">
        <v>43554</v>
      </c>
      <c r="N553" s="23">
        <v>44605</v>
      </c>
      <c r="R553" s="23" t="s">
        <v>3218</v>
      </c>
      <c r="S553" s="23">
        <v>44775</v>
      </c>
    </row>
    <row r="554" spans="1:19" ht="24" customHeight="1" thickTop="1" thickBot="1" x14ac:dyDescent="0.45">
      <c r="A554" s="40" t="s">
        <v>3219</v>
      </c>
      <c r="B554" s="3" t="s">
        <v>3220</v>
      </c>
      <c r="C554" s="3">
        <v>450</v>
      </c>
      <c r="D554" s="23">
        <v>34000</v>
      </c>
      <c r="E554" s="3" t="s">
        <v>1</v>
      </c>
      <c r="F554" s="3" t="s">
        <v>1238</v>
      </c>
      <c r="G554" s="3">
        <v>5</v>
      </c>
      <c r="H554" s="3" t="s">
        <v>18</v>
      </c>
      <c r="K554" s="23" t="s">
        <v>1097</v>
      </c>
      <c r="L554" s="23">
        <v>44521</v>
      </c>
      <c r="M554" s="23">
        <v>44527</v>
      </c>
      <c r="N554" s="23">
        <v>44525</v>
      </c>
      <c r="O554" s="23">
        <v>44541</v>
      </c>
      <c r="P554" s="23">
        <v>44561</v>
      </c>
      <c r="Q554" s="23">
        <v>44728</v>
      </c>
      <c r="R554" s="23">
        <v>45215</v>
      </c>
    </row>
    <row r="555" spans="1:19" ht="24" customHeight="1" thickTop="1" thickBot="1" x14ac:dyDescent="0.45">
      <c r="A555" s="40" t="s">
        <v>3221</v>
      </c>
      <c r="B555" s="3" t="s">
        <v>3222</v>
      </c>
      <c r="C555" s="3">
        <v>298</v>
      </c>
      <c r="D555" s="23" t="s">
        <v>3749</v>
      </c>
      <c r="E555" s="3" t="s">
        <v>1</v>
      </c>
      <c r="F555" s="3" t="s">
        <v>1238</v>
      </c>
      <c r="G555" s="3">
        <v>5</v>
      </c>
      <c r="H555" s="3" t="s">
        <v>18</v>
      </c>
      <c r="K555" s="43" t="s">
        <v>1192</v>
      </c>
      <c r="L555" s="61"/>
      <c r="M555" s="23">
        <v>43706</v>
      </c>
      <c r="N555" s="23">
        <v>44684</v>
      </c>
    </row>
    <row r="556" spans="1:19" ht="24" customHeight="1" thickTop="1" thickBot="1" x14ac:dyDescent="0.45">
      <c r="A556" s="40" t="s">
        <v>3223</v>
      </c>
      <c r="B556" s="3" t="s">
        <v>3224</v>
      </c>
      <c r="C556" s="3">
        <v>401</v>
      </c>
      <c r="D556" s="23">
        <v>36822</v>
      </c>
      <c r="E556" s="3" t="s">
        <v>1</v>
      </c>
      <c r="F556" s="3" t="s">
        <v>1238</v>
      </c>
      <c r="G556" s="3">
        <v>5</v>
      </c>
      <c r="H556" s="3" t="s">
        <v>18</v>
      </c>
      <c r="K556" s="43" t="s">
        <v>1159</v>
      </c>
      <c r="L556" s="61"/>
      <c r="M556" s="23">
        <v>44399</v>
      </c>
    </row>
    <row r="557" spans="1:19" ht="24" customHeight="1" thickTop="1" thickBot="1" x14ac:dyDescent="0.45">
      <c r="A557" s="40" t="s">
        <v>3225</v>
      </c>
      <c r="B557" s="3" t="s">
        <v>3226</v>
      </c>
      <c r="C557" s="3">
        <v>578</v>
      </c>
      <c r="D557" s="23">
        <v>36809</v>
      </c>
      <c r="E557" s="3" t="s">
        <v>1</v>
      </c>
      <c r="F557" s="3" t="s">
        <v>1238</v>
      </c>
      <c r="G557" s="3">
        <v>5</v>
      </c>
      <c r="H557" s="3" t="s">
        <v>18</v>
      </c>
      <c r="K557" s="43" t="s">
        <v>1204</v>
      </c>
      <c r="L557" s="61"/>
      <c r="M557" s="23">
        <v>44955</v>
      </c>
      <c r="N557" s="23">
        <v>44958</v>
      </c>
    </row>
    <row r="558" spans="1:19" ht="24" customHeight="1" thickTop="1" thickBot="1" x14ac:dyDescent="0.45">
      <c r="A558" s="40" t="s">
        <v>3227</v>
      </c>
      <c r="B558" s="3" t="s">
        <v>3228</v>
      </c>
      <c r="C558" s="3">
        <v>327</v>
      </c>
      <c r="D558" s="23">
        <v>35497</v>
      </c>
      <c r="E558" s="3" t="s">
        <v>1</v>
      </c>
      <c r="F558" s="3" t="s">
        <v>1238</v>
      </c>
      <c r="G558" s="3">
        <v>5</v>
      </c>
      <c r="H558" s="3" t="s">
        <v>18</v>
      </c>
      <c r="K558" s="43" t="s">
        <v>1146</v>
      </c>
      <c r="L558" s="61"/>
      <c r="M558" s="23">
        <v>44268</v>
      </c>
    </row>
    <row r="559" spans="1:19" ht="24" customHeight="1" thickTop="1" thickBot="1" x14ac:dyDescent="0.45">
      <c r="A559" s="40" t="s">
        <v>3229</v>
      </c>
      <c r="B559" s="3" t="s">
        <v>3230</v>
      </c>
      <c r="C559" s="3">
        <v>590</v>
      </c>
      <c r="D559" s="23">
        <v>34461</v>
      </c>
      <c r="E559" s="3" t="s">
        <v>1</v>
      </c>
      <c r="F559" s="3" t="s">
        <v>1238</v>
      </c>
      <c r="G559" s="3">
        <v>5</v>
      </c>
      <c r="H559" s="3" t="s">
        <v>18</v>
      </c>
      <c r="K559" s="43" t="s">
        <v>1178</v>
      </c>
      <c r="L559" s="61"/>
      <c r="M559" s="23">
        <v>44970</v>
      </c>
      <c r="N559" s="23">
        <v>44557</v>
      </c>
      <c r="O559" s="23">
        <v>44557</v>
      </c>
    </row>
    <row r="560" spans="1:19" ht="24" customHeight="1" thickTop="1" thickBot="1" x14ac:dyDescent="0.45">
      <c r="A560" s="40" t="s">
        <v>3231</v>
      </c>
      <c r="B560" s="3" t="s">
        <v>3232</v>
      </c>
      <c r="C560" s="3">
        <v>346</v>
      </c>
      <c r="D560" s="23">
        <v>34159</v>
      </c>
      <c r="E560" s="3" t="s">
        <v>1</v>
      </c>
      <c r="F560" s="3" t="s">
        <v>1238</v>
      </c>
      <c r="G560" s="3">
        <v>5</v>
      </c>
      <c r="H560" s="3" t="s">
        <v>18</v>
      </c>
      <c r="K560" s="23" t="s">
        <v>1149</v>
      </c>
      <c r="M560" s="23">
        <v>44274</v>
      </c>
    </row>
    <row r="561" spans="1:17" ht="24" customHeight="1" thickTop="1" thickBot="1" x14ac:dyDescent="0.45">
      <c r="A561" s="40" t="s">
        <v>3233</v>
      </c>
      <c r="B561" s="3" t="s">
        <v>3234</v>
      </c>
      <c r="C561" s="3">
        <v>342</v>
      </c>
      <c r="D561" s="23">
        <v>33806</v>
      </c>
      <c r="E561" s="3" t="s">
        <v>1</v>
      </c>
      <c r="F561" s="3" t="s">
        <v>1238</v>
      </c>
      <c r="G561" s="3">
        <v>5</v>
      </c>
      <c r="H561" s="3" t="s">
        <v>18</v>
      </c>
      <c r="K561" s="43" t="s">
        <v>1145</v>
      </c>
      <c r="L561" s="61"/>
      <c r="M561" s="23">
        <v>44272</v>
      </c>
    </row>
    <row r="562" spans="1:17" ht="24" customHeight="1" thickTop="1" thickBot="1" x14ac:dyDescent="0.45">
      <c r="A562" s="40" t="s">
        <v>3235</v>
      </c>
      <c r="B562" s="3" t="s">
        <v>3236</v>
      </c>
      <c r="C562" s="3">
        <v>388</v>
      </c>
      <c r="D562" s="23" t="s">
        <v>3749</v>
      </c>
      <c r="E562" s="3" t="s">
        <v>1</v>
      </c>
      <c r="F562" s="3" t="s">
        <v>1238</v>
      </c>
      <c r="G562" s="3">
        <v>5</v>
      </c>
      <c r="H562" s="3" t="s">
        <v>18</v>
      </c>
      <c r="K562" s="43" t="s">
        <v>1156</v>
      </c>
      <c r="L562" s="61"/>
      <c r="M562" s="23">
        <v>44367</v>
      </c>
    </row>
    <row r="563" spans="1:17" ht="24" customHeight="1" thickTop="1" thickBot="1" x14ac:dyDescent="0.45">
      <c r="A563" s="40" t="s">
        <v>3237</v>
      </c>
      <c r="B563" s="3" t="s">
        <v>3238</v>
      </c>
      <c r="C563" s="3">
        <v>368</v>
      </c>
      <c r="D563" s="23">
        <v>35411</v>
      </c>
      <c r="E563" s="3" t="s">
        <v>1</v>
      </c>
      <c r="F563" s="3" t="s">
        <v>1238</v>
      </c>
      <c r="G563" s="3">
        <v>5</v>
      </c>
      <c r="H563" s="3" t="s">
        <v>18</v>
      </c>
      <c r="K563" s="23" t="s">
        <v>1153</v>
      </c>
      <c r="M563" s="23">
        <v>44334</v>
      </c>
    </row>
    <row r="564" spans="1:17" ht="24" customHeight="1" thickTop="1" thickBot="1" x14ac:dyDescent="0.45">
      <c r="A564" s="40" t="s">
        <v>3239</v>
      </c>
      <c r="B564" s="3" t="s">
        <v>3240</v>
      </c>
      <c r="C564" s="3">
        <v>377</v>
      </c>
      <c r="D564" s="23" t="s">
        <v>3749</v>
      </c>
      <c r="E564" s="3" t="s">
        <v>1</v>
      </c>
      <c r="F564" s="3" t="s">
        <v>1238</v>
      </c>
      <c r="G564" s="3">
        <v>5</v>
      </c>
      <c r="H564" s="3" t="s">
        <v>18</v>
      </c>
      <c r="K564" s="23" t="s">
        <v>102</v>
      </c>
      <c r="M564" s="23">
        <v>44355</v>
      </c>
    </row>
    <row r="565" spans="1:17" ht="24" customHeight="1" thickTop="1" thickBot="1" x14ac:dyDescent="0.45">
      <c r="A565" s="40" t="s">
        <v>3241</v>
      </c>
      <c r="B565" s="3" t="s">
        <v>3242</v>
      </c>
      <c r="C565" s="3">
        <v>319</v>
      </c>
      <c r="D565" s="23">
        <v>34067</v>
      </c>
      <c r="E565" s="3" t="s">
        <v>1</v>
      </c>
      <c r="F565" s="3" t="s">
        <v>1238</v>
      </c>
      <c r="G565" s="3">
        <v>5</v>
      </c>
      <c r="H565" s="3" t="s">
        <v>18</v>
      </c>
      <c r="K565" s="23" t="s">
        <v>1143</v>
      </c>
      <c r="M565" s="23">
        <v>44265</v>
      </c>
    </row>
    <row r="566" spans="1:17" ht="24" customHeight="1" thickTop="1" thickBot="1" x14ac:dyDescent="0.45">
      <c r="A566" s="40" t="s">
        <v>3243</v>
      </c>
      <c r="B566" s="3" t="s">
        <v>3244</v>
      </c>
      <c r="C566" s="3">
        <v>198</v>
      </c>
      <c r="D566" s="23">
        <v>33654</v>
      </c>
      <c r="E566" s="3" t="s">
        <v>1</v>
      </c>
      <c r="F566" s="3" t="s">
        <v>1238</v>
      </c>
      <c r="G566" s="3">
        <v>5</v>
      </c>
      <c r="H566" s="3" t="s">
        <v>18</v>
      </c>
      <c r="K566" s="43"/>
      <c r="L566" s="61"/>
      <c r="M566" s="23">
        <v>43300</v>
      </c>
    </row>
    <row r="567" spans="1:17" ht="24" customHeight="1" thickTop="1" thickBot="1" x14ac:dyDescent="0.45">
      <c r="A567" s="40" t="s">
        <v>3245</v>
      </c>
      <c r="B567" s="3" t="s">
        <v>3246</v>
      </c>
      <c r="C567" s="3">
        <v>301</v>
      </c>
      <c r="D567" s="23">
        <v>35780</v>
      </c>
      <c r="E567" s="3" t="s">
        <v>1</v>
      </c>
      <c r="F567" s="3" t="s">
        <v>1238</v>
      </c>
      <c r="G567" s="3">
        <v>5</v>
      </c>
      <c r="H567" s="3" t="s">
        <v>18</v>
      </c>
      <c r="K567" s="23" t="s">
        <v>1133</v>
      </c>
      <c r="M567" s="23">
        <v>43743</v>
      </c>
    </row>
    <row r="568" spans="1:17" ht="24" customHeight="1" thickTop="1" thickBot="1" x14ac:dyDescent="0.45">
      <c r="A568" s="40" t="s">
        <v>3247</v>
      </c>
      <c r="B568" s="3" t="s">
        <v>3248</v>
      </c>
      <c r="C568" s="3">
        <v>287</v>
      </c>
      <c r="D568" s="23" t="s">
        <v>3749</v>
      </c>
      <c r="E568" s="3" t="s">
        <v>1</v>
      </c>
      <c r="F568" s="3" t="s">
        <v>1238</v>
      </c>
      <c r="G568" s="3">
        <v>5</v>
      </c>
      <c r="H568" s="3" t="s">
        <v>18</v>
      </c>
      <c r="M568" s="23">
        <v>43636</v>
      </c>
    </row>
    <row r="569" spans="1:17" ht="24" customHeight="1" thickTop="1" thickBot="1" x14ac:dyDescent="0.45">
      <c r="A569" s="40" t="s">
        <v>3249</v>
      </c>
      <c r="B569" s="3" t="s">
        <v>3250</v>
      </c>
      <c r="C569" s="3">
        <v>658</v>
      </c>
      <c r="D569" s="23">
        <v>36279</v>
      </c>
      <c r="E569" s="3" t="s">
        <v>1</v>
      </c>
      <c r="F569" s="3" t="s">
        <v>1239</v>
      </c>
      <c r="G569" s="3">
        <v>6</v>
      </c>
      <c r="H569" s="3" t="s">
        <v>18</v>
      </c>
      <c r="K569" s="23" t="s">
        <v>992</v>
      </c>
      <c r="L569" s="23">
        <v>45321</v>
      </c>
      <c r="M569" s="23">
        <v>45341</v>
      </c>
      <c r="N569" s="23">
        <v>45330</v>
      </c>
      <c r="O569" s="23">
        <v>45393</v>
      </c>
      <c r="P569" s="23">
        <v>45460</v>
      </c>
      <c r="Q569" s="23">
        <v>45832</v>
      </c>
    </row>
    <row r="570" spans="1:17" ht="24" customHeight="1" thickTop="1" thickBot="1" x14ac:dyDescent="0.45">
      <c r="A570" s="40" t="s">
        <v>3251</v>
      </c>
      <c r="B570" s="3" t="s">
        <v>3252</v>
      </c>
      <c r="C570" s="3">
        <v>309</v>
      </c>
      <c r="D570" s="23">
        <v>35498</v>
      </c>
      <c r="E570" s="3" t="s">
        <v>1</v>
      </c>
      <c r="F570" s="3" t="s">
        <v>1239</v>
      </c>
      <c r="G570" s="3">
        <v>6</v>
      </c>
      <c r="H570" s="3" t="s">
        <v>18</v>
      </c>
      <c r="K570" s="23" t="s">
        <v>106</v>
      </c>
      <c r="M570" s="23">
        <v>43996</v>
      </c>
      <c r="Q570" s="23">
        <v>44593</v>
      </c>
    </row>
    <row r="571" spans="1:17" ht="24" customHeight="1" thickTop="1" thickBot="1" x14ac:dyDescent="0.45">
      <c r="A571" s="40" t="s">
        <v>3253</v>
      </c>
      <c r="B571" s="3" t="s">
        <v>3254</v>
      </c>
      <c r="C571" s="3">
        <v>635</v>
      </c>
      <c r="D571" s="23">
        <v>38217</v>
      </c>
      <c r="E571" s="3" t="s">
        <v>1</v>
      </c>
      <c r="F571" s="3" t="s">
        <v>1239</v>
      </c>
      <c r="G571" s="3">
        <v>6</v>
      </c>
      <c r="H571" s="3" t="s">
        <v>18</v>
      </c>
      <c r="K571" s="23" t="s">
        <v>1209</v>
      </c>
      <c r="L571" s="23">
        <v>45215</v>
      </c>
      <c r="M571" s="23">
        <v>45215</v>
      </c>
      <c r="N571" s="23">
        <v>45215</v>
      </c>
    </row>
    <row r="572" spans="1:17" ht="24" customHeight="1" thickTop="1" thickBot="1" x14ac:dyDescent="0.45">
      <c r="A572" s="40" t="s">
        <v>3255</v>
      </c>
      <c r="B572" s="3" t="s">
        <v>3256</v>
      </c>
      <c r="C572" s="3">
        <v>476</v>
      </c>
      <c r="D572" s="23">
        <v>36516</v>
      </c>
      <c r="E572" s="3" t="s">
        <v>1</v>
      </c>
      <c r="F572" s="3" t="s">
        <v>1239</v>
      </c>
      <c r="G572" s="3">
        <v>6</v>
      </c>
      <c r="H572" s="3" t="s">
        <v>18</v>
      </c>
      <c r="K572" s="23" t="s">
        <v>3257</v>
      </c>
      <c r="L572" s="23">
        <v>44599</v>
      </c>
      <c r="M572" s="23">
        <v>44604</v>
      </c>
      <c r="N572" s="23">
        <v>44599</v>
      </c>
    </row>
    <row r="573" spans="1:17" ht="24" customHeight="1" thickTop="1" thickBot="1" x14ac:dyDescent="0.45">
      <c r="A573" s="40" t="s">
        <v>3258</v>
      </c>
      <c r="B573" s="3" t="s">
        <v>3259</v>
      </c>
      <c r="C573" s="3">
        <v>478</v>
      </c>
      <c r="D573" s="23">
        <v>33288</v>
      </c>
      <c r="E573" s="3" t="s">
        <v>1</v>
      </c>
      <c r="F573" s="3" t="s">
        <v>1239</v>
      </c>
      <c r="G573" s="3">
        <v>6</v>
      </c>
      <c r="H573" s="3" t="s">
        <v>18</v>
      </c>
      <c r="K573" s="23" t="s">
        <v>1187</v>
      </c>
      <c r="L573" s="23">
        <v>44605</v>
      </c>
      <c r="M573" s="23">
        <v>44606</v>
      </c>
      <c r="N573" s="23">
        <v>44605</v>
      </c>
    </row>
    <row r="574" spans="1:17" ht="24" customHeight="1" thickTop="1" thickBot="1" x14ac:dyDescent="0.45">
      <c r="A574" s="40" t="s">
        <v>3260</v>
      </c>
      <c r="B574" s="3" t="s">
        <v>3261</v>
      </c>
      <c r="C574" s="3">
        <v>358</v>
      </c>
      <c r="D574" s="23" t="s">
        <v>3749</v>
      </c>
      <c r="E574" s="3" t="s">
        <v>1</v>
      </c>
      <c r="F574" s="3" t="s">
        <v>1239</v>
      </c>
      <c r="G574" s="3">
        <v>6</v>
      </c>
      <c r="H574" s="3" t="s">
        <v>18</v>
      </c>
      <c r="K574" s="23" t="s">
        <v>96</v>
      </c>
      <c r="M574" s="23">
        <v>44329</v>
      </c>
    </row>
    <row r="575" spans="1:17" ht="24" customHeight="1" thickTop="1" thickBot="1" x14ac:dyDescent="0.45">
      <c r="A575" s="40" t="s">
        <v>3262</v>
      </c>
      <c r="B575" s="3" t="s">
        <v>3263</v>
      </c>
      <c r="C575" s="3">
        <v>439</v>
      </c>
      <c r="D575" s="23">
        <v>34326</v>
      </c>
      <c r="E575" s="3" t="s">
        <v>1</v>
      </c>
      <c r="F575" s="3" t="s">
        <v>1239</v>
      </c>
      <c r="G575" s="3">
        <v>6</v>
      </c>
      <c r="H575" s="3" t="s">
        <v>18</v>
      </c>
      <c r="L575" s="23">
        <v>44518</v>
      </c>
      <c r="M575" s="23">
        <v>44519</v>
      </c>
      <c r="N575" s="23">
        <v>44518</v>
      </c>
    </row>
    <row r="576" spans="1:17" ht="24" customHeight="1" thickTop="1" thickBot="1" x14ac:dyDescent="0.45">
      <c r="A576" s="40" t="s">
        <v>3264</v>
      </c>
      <c r="B576" s="3" t="s">
        <v>3265</v>
      </c>
      <c r="C576" s="3">
        <v>333</v>
      </c>
      <c r="D576" s="23" t="s">
        <v>3749</v>
      </c>
      <c r="E576" s="3" t="s">
        <v>1</v>
      </c>
      <c r="F576" s="3" t="s">
        <v>1239</v>
      </c>
      <c r="G576" s="3">
        <v>6</v>
      </c>
      <c r="H576" s="3" t="s">
        <v>18</v>
      </c>
      <c r="M576" s="23">
        <v>44268</v>
      </c>
    </row>
    <row r="577" spans="1:17" ht="24" customHeight="1" thickTop="1" thickBot="1" x14ac:dyDescent="0.45">
      <c r="A577" s="40" t="s">
        <v>3266</v>
      </c>
      <c r="B577" s="3" t="s">
        <v>3267</v>
      </c>
      <c r="C577" s="3">
        <v>625</v>
      </c>
      <c r="D577" s="23">
        <v>36069</v>
      </c>
      <c r="E577" s="3" t="s">
        <v>1</v>
      </c>
      <c r="F577" s="3" t="s">
        <v>6</v>
      </c>
      <c r="G577" s="3">
        <v>6</v>
      </c>
      <c r="H577" s="3" t="s">
        <v>18</v>
      </c>
      <c r="K577" s="23" t="s">
        <v>989</v>
      </c>
      <c r="L577" s="23">
        <v>45190</v>
      </c>
      <c r="M577" s="23">
        <v>45197</v>
      </c>
      <c r="N577" s="23">
        <v>45197</v>
      </c>
      <c r="O577" s="23">
        <v>45215</v>
      </c>
      <c r="P577" s="23">
        <v>45289</v>
      </c>
      <c r="Q577" s="23">
        <v>45523</v>
      </c>
    </row>
    <row r="578" spans="1:17" ht="24" customHeight="1" thickTop="1" thickBot="1" x14ac:dyDescent="0.45">
      <c r="A578" s="40" t="s">
        <v>3268</v>
      </c>
      <c r="B578" s="3" t="s">
        <v>3269</v>
      </c>
      <c r="C578" s="3">
        <v>571</v>
      </c>
      <c r="D578" s="23">
        <v>36259</v>
      </c>
      <c r="E578" s="3" t="s">
        <v>1</v>
      </c>
      <c r="F578" s="3" t="s">
        <v>6</v>
      </c>
      <c r="G578" s="3">
        <v>6</v>
      </c>
      <c r="H578" s="3" t="s">
        <v>18</v>
      </c>
      <c r="K578" s="43" t="s">
        <v>3270</v>
      </c>
      <c r="L578" s="61">
        <v>44925</v>
      </c>
      <c r="M578" s="23">
        <v>44952</v>
      </c>
      <c r="N578" s="23">
        <v>44925</v>
      </c>
      <c r="O578" s="23">
        <v>44942</v>
      </c>
      <c r="P578" s="23">
        <v>45151</v>
      </c>
      <c r="Q578" s="23">
        <v>45392</v>
      </c>
    </row>
    <row r="579" spans="1:17" ht="24" customHeight="1" thickTop="1" thickBot="1" x14ac:dyDescent="0.45">
      <c r="A579" s="40" t="s">
        <v>3271</v>
      </c>
      <c r="B579" s="3" t="s">
        <v>3272</v>
      </c>
      <c r="C579" s="3">
        <v>268</v>
      </c>
      <c r="D579" s="23">
        <v>35754</v>
      </c>
      <c r="E579" s="3" t="s">
        <v>1</v>
      </c>
      <c r="F579" s="3" t="s">
        <v>6</v>
      </c>
      <c r="G579" s="3">
        <v>6</v>
      </c>
      <c r="H579" s="3" t="s">
        <v>18</v>
      </c>
      <c r="K579" s="23" t="s">
        <v>1198</v>
      </c>
      <c r="M579" s="23">
        <v>43561</v>
      </c>
      <c r="N579" s="23">
        <v>44748</v>
      </c>
      <c r="O579" s="23">
        <v>44769</v>
      </c>
      <c r="P579" s="23" t="s">
        <v>3273</v>
      </c>
      <c r="Q579" s="23">
        <v>45197</v>
      </c>
    </row>
    <row r="580" spans="1:17" ht="24" customHeight="1" thickTop="1" thickBot="1" x14ac:dyDescent="0.45">
      <c r="A580" s="40" t="s">
        <v>3274</v>
      </c>
      <c r="B580" s="3" t="s">
        <v>3275</v>
      </c>
      <c r="C580" s="3">
        <v>624</v>
      </c>
      <c r="D580" s="23">
        <v>36130</v>
      </c>
      <c r="E580" s="3" t="s">
        <v>1</v>
      </c>
      <c r="F580" s="3" t="s">
        <v>6</v>
      </c>
      <c r="G580" s="3">
        <v>6</v>
      </c>
      <c r="H580" s="3" t="s">
        <v>18</v>
      </c>
      <c r="K580" s="23" t="s">
        <v>3276</v>
      </c>
      <c r="L580" s="23">
        <v>45191</v>
      </c>
      <c r="M580" s="23">
        <v>45196</v>
      </c>
      <c r="N580" s="23">
        <v>45197</v>
      </c>
      <c r="O580" s="23">
        <v>45215</v>
      </c>
      <c r="P580" s="23">
        <v>45308</v>
      </c>
      <c r="Q580" s="23">
        <v>45650</v>
      </c>
    </row>
    <row r="581" spans="1:17" ht="24" customHeight="1" thickTop="1" thickBot="1" x14ac:dyDescent="0.45">
      <c r="A581" s="40" t="s">
        <v>3277</v>
      </c>
      <c r="B581" s="3" t="s">
        <v>3278</v>
      </c>
      <c r="C581" s="3">
        <v>472</v>
      </c>
      <c r="D581" s="23">
        <v>36051</v>
      </c>
      <c r="E581" s="3" t="s">
        <v>1</v>
      </c>
      <c r="F581" s="3" t="s">
        <v>6</v>
      </c>
      <c r="G581" s="3">
        <v>6</v>
      </c>
      <c r="H581" s="3" t="s">
        <v>18</v>
      </c>
      <c r="K581" s="23" t="s">
        <v>1181</v>
      </c>
      <c r="L581" s="23">
        <v>44574</v>
      </c>
      <c r="M581" s="23">
        <v>44590</v>
      </c>
      <c r="N581" s="23">
        <v>44605</v>
      </c>
      <c r="O581" s="23">
        <v>44619</v>
      </c>
      <c r="P581" s="23">
        <v>44728</v>
      </c>
      <c r="Q581" s="23">
        <v>45151</v>
      </c>
    </row>
    <row r="582" spans="1:17" ht="24" customHeight="1" thickTop="1" thickBot="1" x14ac:dyDescent="0.45">
      <c r="A582" s="40" t="s">
        <v>3279</v>
      </c>
      <c r="B582" s="3" t="s">
        <v>3280</v>
      </c>
      <c r="C582" s="3">
        <v>683</v>
      </c>
      <c r="D582" s="23">
        <v>35437</v>
      </c>
      <c r="E582" s="3" t="s">
        <v>1</v>
      </c>
      <c r="F582" s="3" t="s">
        <v>6</v>
      </c>
      <c r="G582" s="3">
        <v>6</v>
      </c>
      <c r="H582" s="3" t="s">
        <v>18</v>
      </c>
      <c r="K582" s="23" t="s">
        <v>997</v>
      </c>
      <c r="L582" s="23">
        <v>45389</v>
      </c>
      <c r="M582" s="23">
        <v>45422</v>
      </c>
      <c r="N582" s="23">
        <v>45392</v>
      </c>
      <c r="O582" s="23">
        <v>45460</v>
      </c>
      <c r="P582" s="23">
        <v>45558</v>
      </c>
      <c r="Q582" s="23">
        <v>45930</v>
      </c>
    </row>
    <row r="583" spans="1:17" ht="24" customHeight="1" thickTop="1" thickBot="1" x14ac:dyDescent="0.45">
      <c r="A583" s="40" t="s">
        <v>3281</v>
      </c>
      <c r="B583" s="3" t="s">
        <v>3282</v>
      </c>
      <c r="C583" s="3">
        <v>456</v>
      </c>
      <c r="D583" s="23">
        <v>34013</v>
      </c>
      <c r="E583" s="3" t="s">
        <v>1</v>
      </c>
      <c r="F583" s="3" t="s">
        <v>6</v>
      </c>
      <c r="G583" s="3">
        <v>6</v>
      </c>
      <c r="H583" s="3" t="s">
        <v>18</v>
      </c>
      <c r="K583" s="43" t="s">
        <v>1175</v>
      </c>
      <c r="L583" s="61">
        <v>44531</v>
      </c>
      <c r="M583" s="23">
        <v>44532</v>
      </c>
      <c r="N583" s="23">
        <v>44531</v>
      </c>
    </row>
    <row r="584" spans="1:17" ht="24" customHeight="1" thickTop="1" thickBot="1" x14ac:dyDescent="0.45">
      <c r="A584" s="40" t="s">
        <v>37</v>
      </c>
      <c r="B584" s="3" t="s">
        <v>3283</v>
      </c>
      <c r="C584" s="3">
        <v>215</v>
      </c>
      <c r="D584" s="23">
        <v>33968</v>
      </c>
      <c r="E584" s="3" t="s">
        <v>1</v>
      </c>
      <c r="F584" s="3" t="s">
        <v>6</v>
      </c>
      <c r="G584" s="3">
        <v>6</v>
      </c>
      <c r="H584" s="3" t="s">
        <v>18</v>
      </c>
      <c r="K584" s="23" t="s">
        <v>1118</v>
      </c>
      <c r="M584" s="23">
        <v>43305</v>
      </c>
    </row>
    <row r="585" spans="1:17" ht="24" customHeight="1" thickTop="1" thickBot="1" x14ac:dyDescent="0.45">
      <c r="A585" s="40" t="s">
        <v>3284</v>
      </c>
      <c r="B585" s="3" t="s">
        <v>3285</v>
      </c>
      <c r="C585" s="3">
        <v>417</v>
      </c>
      <c r="D585" s="23">
        <v>33336</v>
      </c>
      <c r="E585" s="3" t="s">
        <v>1</v>
      </c>
      <c r="F585" s="3" t="s">
        <v>6</v>
      </c>
      <c r="G585" s="3">
        <v>6</v>
      </c>
      <c r="H585" s="3" t="s">
        <v>18</v>
      </c>
      <c r="K585" s="23" t="s">
        <v>1158</v>
      </c>
      <c r="L585" s="23">
        <v>44388</v>
      </c>
      <c r="M585" s="23">
        <v>44436</v>
      </c>
      <c r="O585" s="23">
        <v>44495</v>
      </c>
      <c r="P585" s="23">
        <v>44561</v>
      </c>
      <c r="Q585" s="23">
        <v>44775</v>
      </c>
    </row>
    <row r="586" spans="1:17" ht="24" customHeight="1" thickTop="1" thickBot="1" x14ac:dyDescent="0.45">
      <c r="A586" s="40" t="s">
        <v>3286</v>
      </c>
      <c r="B586" s="3" t="s">
        <v>3287</v>
      </c>
      <c r="C586" s="3">
        <v>560</v>
      </c>
      <c r="D586" s="23">
        <v>34997</v>
      </c>
      <c r="E586" s="3" t="s">
        <v>1</v>
      </c>
      <c r="F586" s="3" t="s">
        <v>6</v>
      </c>
      <c r="G586" s="3">
        <v>6</v>
      </c>
      <c r="H586" s="3" t="s">
        <v>18</v>
      </c>
      <c r="M586" s="23">
        <v>44943</v>
      </c>
      <c r="N586" s="23">
        <v>44958</v>
      </c>
    </row>
    <row r="587" spans="1:17" ht="24" customHeight="1" thickTop="1" thickBot="1" x14ac:dyDescent="0.45">
      <c r="A587" s="40" t="s">
        <v>3288</v>
      </c>
      <c r="B587" s="3" t="s">
        <v>3289</v>
      </c>
      <c r="C587" s="3">
        <v>446</v>
      </c>
      <c r="D587" s="23" t="s">
        <v>3749</v>
      </c>
      <c r="E587" s="3" t="s">
        <v>1</v>
      </c>
      <c r="F587" s="3" t="s">
        <v>6</v>
      </c>
      <c r="G587" s="3">
        <v>6</v>
      </c>
      <c r="H587" s="3" t="s">
        <v>18</v>
      </c>
      <c r="K587" s="23" t="s">
        <v>106</v>
      </c>
      <c r="M587" s="23">
        <v>44526</v>
      </c>
    </row>
    <row r="588" spans="1:17" ht="24" customHeight="1" thickTop="1" thickBot="1" x14ac:dyDescent="0.45">
      <c r="A588" s="40" t="s">
        <v>3290</v>
      </c>
      <c r="B588" s="3" t="s">
        <v>3291</v>
      </c>
      <c r="C588" s="3">
        <v>228</v>
      </c>
      <c r="D588" s="23">
        <v>32606</v>
      </c>
      <c r="E588" s="3" t="s">
        <v>1</v>
      </c>
      <c r="F588" s="3" t="s">
        <v>6</v>
      </c>
      <c r="G588" s="3">
        <v>6</v>
      </c>
      <c r="H588" s="3" t="s">
        <v>18</v>
      </c>
      <c r="K588" s="43"/>
      <c r="L588" s="61"/>
      <c r="M588" s="23">
        <v>43351</v>
      </c>
      <c r="N588" s="23">
        <v>45760</v>
      </c>
      <c r="Q588" s="23">
        <v>45760</v>
      </c>
    </row>
    <row r="589" spans="1:17" ht="24" customHeight="1" thickTop="1" thickBot="1" x14ac:dyDescent="0.45">
      <c r="A589" s="40" t="s">
        <v>3292</v>
      </c>
      <c r="B589" s="3" t="s">
        <v>3293</v>
      </c>
      <c r="C589" s="3">
        <v>510</v>
      </c>
      <c r="D589" s="23">
        <v>34860</v>
      </c>
      <c r="E589" s="3" t="s">
        <v>1</v>
      </c>
      <c r="F589" s="3" t="s">
        <v>6</v>
      </c>
      <c r="G589" s="3">
        <v>6</v>
      </c>
      <c r="H589" s="3" t="s">
        <v>18</v>
      </c>
      <c r="K589" s="23" t="s">
        <v>1168</v>
      </c>
      <c r="M589" s="23">
        <v>44654</v>
      </c>
    </row>
    <row r="590" spans="1:17" ht="24" customHeight="1" thickTop="1" thickBot="1" x14ac:dyDescent="0.45">
      <c r="A590" s="40" t="s">
        <v>3294</v>
      </c>
      <c r="B590" s="3" t="s">
        <v>3295</v>
      </c>
      <c r="C590" s="3">
        <v>415</v>
      </c>
      <c r="D590" s="23" t="s">
        <v>3749</v>
      </c>
      <c r="E590" s="3" t="s">
        <v>1</v>
      </c>
      <c r="F590" s="3" t="s">
        <v>6</v>
      </c>
      <c r="G590" s="3">
        <v>6</v>
      </c>
      <c r="H590" s="3" t="s">
        <v>18</v>
      </c>
      <c r="K590" s="23" t="s">
        <v>1161</v>
      </c>
      <c r="L590" s="23">
        <v>44424</v>
      </c>
      <c r="M590" s="23">
        <v>44432</v>
      </c>
      <c r="N590" s="23">
        <v>44424</v>
      </c>
    </row>
    <row r="591" spans="1:17" ht="24" customHeight="1" thickTop="1" thickBot="1" x14ac:dyDescent="0.45">
      <c r="A591" s="40" t="s">
        <v>3296</v>
      </c>
      <c r="B591" s="3" t="s">
        <v>3297</v>
      </c>
      <c r="C591" s="3">
        <v>425</v>
      </c>
      <c r="D591" s="23" t="s">
        <v>3749</v>
      </c>
      <c r="E591" s="3" t="s">
        <v>1</v>
      </c>
      <c r="F591" s="3" t="s">
        <v>6</v>
      </c>
      <c r="G591" s="3">
        <v>6</v>
      </c>
      <c r="H591" s="3" t="s">
        <v>18</v>
      </c>
      <c r="K591" s="23" t="s">
        <v>1167</v>
      </c>
      <c r="L591" s="23">
        <v>44500</v>
      </c>
      <c r="M591" s="23">
        <v>44500</v>
      </c>
      <c r="N591" s="23">
        <v>44500</v>
      </c>
    </row>
    <row r="592" spans="1:17" ht="24" customHeight="1" thickTop="1" thickBot="1" x14ac:dyDescent="0.45">
      <c r="A592" s="40" t="s">
        <v>3298</v>
      </c>
      <c r="B592" s="3" t="s">
        <v>3299</v>
      </c>
      <c r="C592" s="3">
        <v>557</v>
      </c>
      <c r="D592" s="23">
        <v>34399</v>
      </c>
      <c r="E592" s="3" t="s">
        <v>1</v>
      </c>
      <c r="F592" s="3" t="s">
        <v>6</v>
      </c>
      <c r="G592" s="3">
        <v>6</v>
      </c>
      <c r="H592" s="3" t="s">
        <v>18</v>
      </c>
      <c r="K592" s="23" t="s">
        <v>1203</v>
      </c>
      <c r="L592" s="23">
        <v>44925</v>
      </c>
      <c r="M592" s="23">
        <v>44934</v>
      </c>
      <c r="N592" s="23">
        <v>44925</v>
      </c>
    </row>
    <row r="593" spans="1:17" ht="24" customHeight="1" thickTop="1" thickBot="1" x14ac:dyDescent="0.45">
      <c r="A593" s="40" t="s">
        <v>3300</v>
      </c>
      <c r="B593" s="3" t="s">
        <v>3301</v>
      </c>
      <c r="C593" s="3">
        <v>595</v>
      </c>
      <c r="D593" s="23">
        <v>36789</v>
      </c>
      <c r="E593" s="3" t="s">
        <v>1</v>
      </c>
      <c r="F593" s="3" t="s">
        <v>1238</v>
      </c>
      <c r="G593" s="3">
        <v>6</v>
      </c>
      <c r="H593" s="3" t="s">
        <v>18</v>
      </c>
      <c r="K593" s="23" t="s">
        <v>8</v>
      </c>
      <c r="L593" s="23">
        <v>44993</v>
      </c>
      <c r="M593" s="23">
        <v>45011</v>
      </c>
      <c r="N593" s="23">
        <v>44958</v>
      </c>
      <c r="O593" s="23">
        <v>45011</v>
      </c>
      <c r="P593" s="23">
        <v>45163</v>
      </c>
      <c r="Q593" s="23">
        <v>45392</v>
      </c>
    </row>
    <row r="594" spans="1:17" ht="24" customHeight="1" thickTop="1" thickBot="1" x14ac:dyDescent="0.45">
      <c r="A594" s="40" t="s">
        <v>3302</v>
      </c>
      <c r="B594" s="3" t="s">
        <v>3303</v>
      </c>
      <c r="C594" s="3">
        <v>398</v>
      </c>
      <c r="D594" s="23">
        <v>34443</v>
      </c>
      <c r="E594" s="3" t="s">
        <v>1</v>
      </c>
      <c r="F594" s="3" t="s">
        <v>1238</v>
      </c>
      <c r="G594" s="3">
        <v>6</v>
      </c>
      <c r="H594" s="3" t="s">
        <v>18</v>
      </c>
      <c r="K594" s="23" t="s">
        <v>977</v>
      </c>
      <c r="L594" s="23">
        <v>44368</v>
      </c>
      <c r="M594" s="23">
        <v>44381</v>
      </c>
      <c r="N594" s="23">
        <v>44396</v>
      </c>
      <c r="O594" s="23">
        <v>44396</v>
      </c>
      <c r="P594" s="23" t="s">
        <v>3304</v>
      </c>
      <c r="Q594" s="23" t="s">
        <v>3305</v>
      </c>
    </row>
    <row r="595" spans="1:17" ht="24" customHeight="1" thickTop="1" thickBot="1" x14ac:dyDescent="0.45">
      <c r="A595" s="40" t="s">
        <v>3306</v>
      </c>
      <c r="B595" s="3" t="s">
        <v>3307</v>
      </c>
      <c r="C595" s="3">
        <v>666</v>
      </c>
      <c r="D595" s="23">
        <v>37774</v>
      </c>
      <c r="E595" s="3" t="s">
        <v>1</v>
      </c>
      <c r="F595" s="3" t="s">
        <v>1238</v>
      </c>
      <c r="G595" s="3">
        <v>6</v>
      </c>
      <c r="H595" s="3" t="s">
        <v>18</v>
      </c>
      <c r="K595" s="23" t="s">
        <v>994</v>
      </c>
      <c r="L595" s="23">
        <v>45372</v>
      </c>
      <c r="M595" s="23">
        <v>45377</v>
      </c>
      <c r="N595" s="23">
        <v>45376</v>
      </c>
      <c r="O595" s="23">
        <v>45523</v>
      </c>
      <c r="P595" s="23">
        <v>45599</v>
      </c>
      <c r="Q595" s="23">
        <v>45985</v>
      </c>
    </row>
    <row r="596" spans="1:17" ht="24" customHeight="1" thickTop="1" thickBot="1" x14ac:dyDescent="0.45">
      <c r="A596" s="40" t="s">
        <v>3308</v>
      </c>
      <c r="B596" s="3" t="s">
        <v>3309</v>
      </c>
      <c r="C596" s="3">
        <v>505</v>
      </c>
      <c r="D596" s="23">
        <v>34662</v>
      </c>
      <c r="E596" s="3" t="s">
        <v>1</v>
      </c>
      <c r="F596" s="3" t="s">
        <v>1238</v>
      </c>
      <c r="G596" s="3">
        <v>6</v>
      </c>
      <c r="H596" s="3" t="s">
        <v>18</v>
      </c>
      <c r="K596" s="23" t="s">
        <v>981</v>
      </c>
      <c r="L596" s="23">
        <v>44643</v>
      </c>
      <c r="M596" s="23">
        <v>44643</v>
      </c>
      <c r="N596" s="23">
        <v>44643</v>
      </c>
      <c r="O596" s="23">
        <v>44656</v>
      </c>
      <c r="P596" s="23">
        <v>45049</v>
      </c>
      <c r="Q596" s="23">
        <v>45289</v>
      </c>
    </row>
    <row r="597" spans="1:17" ht="24" customHeight="1" thickTop="1" thickBot="1" x14ac:dyDescent="0.45">
      <c r="A597" s="40" t="s">
        <v>3310</v>
      </c>
      <c r="B597" s="3" t="s">
        <v>3311</v>
      </c>
      <c r="C597" s="3">
        <v>641</v>
      </c>
      <c r="D597" s="23">
        <v>34412</v>
      </c>
      <c r="E597" s="3" t="s">
        <v>1</v>
      </c>
      <c r="F597" s="3" t="s">
        <v>1238</v>
      </c>
      <c r="G597" s="3">
        <v>6</v>
      </c>
      <c r="H597" s="3" t="s">
        <v>18</v>
      </c>
      <c r="K597" s="23" t="s">
        <v>1206</v>
      </c>
      <c r="L597" s="23">
        <v>45045</v>
      </c>
      <c r="M597" s="23">
        <v>45226</v>
      </c>
      <c r="N597" s="23">
        <v>45049</v>
      </c>
      <c r="O597" s="23">
        <v>45230</v>
      </c>
      <c r="P597" s="23">
        <v>45376</v>
      </c>
      <c r="Q597" s="23">
        <v>46019</v>
      </c>
    </row>
    <row r="598" spans="1:17" ht="24" customHeight="1" thickTop="1" thickBot="1" x14ac:dyDescent="0.45">
      <c r="A598" s="40" t="s">
        <v>3312</v>
      </c>
      <c r="B598" s="3" t="s">
        <v>3313</v>
      </c>
      <c r="C598" s="3">
        <v>611</v>
      </c>
      <c r="D598" s="23">
        <v>33188</v>
      </c>
      <c r="E598" s="3" t="s">
        <v>1</v>
      </c>
      <c r="F598" s="3" t="s">
        <v>1238</v>
      </c>
      <c r="G598" s="3">
        <v>6</v>
      </c>
      <c r="H598" s="3" t="s">
        <v>18</v>
      </c>
      <c r="K598" s="23" t="s">
        <v>1207</v>
      </c>
      <c r="L598" s="23">
        <v>45158</v>
      </c>
      <c r="M598" s="23">
        <v>45160</v>
      </c>
      <c r="N598" s="23">
        <v>45163</v>
      </c>
      <c r="O598" s="23">
        <v>45180</v>
      </c>
      <c r="P598" s="23">
        <v>45289</v>
      </c>
      <c r="Q598" s="23">
        <v>45776</v>
      </c>
    </row>
    <row r="599" spans="1:17" ht="24" customHeight="1" thickTop="1" thickBot="1" x14ac:dyDescent="0.45">
      <c r="A599" s="40" t="s">
        <v>3314</v>
      </c>
      <c r="B599" s="3" t="s">
        <v>3315</v>
      </c>
      <c r="C599" s="3">
        <v>203</v>
      </c>
      <c r="D599" s="23" t="s">
        <v>3749</v>
      </c>
      <c r="E599" s="3" t="s">
        <v>1</v>
      </c>
      <c r="F599" s="3" t="s">
        <v>1238</v>
      </c>
      <c r="G599" s="3">
        <v>6</v>
      </c>
      <c r="H599" s="3" t="s">
        <v>18</v>
      </c>
      <c r="K599" s="23" t="s">
        <v>1115</v>
      </c>
      <c r="M599" s="23">
        <v>43303</v>
      </c>
    </row>
    <row r="600" spans="1:17" ht="24" customHeight="1" thickTop="1" thickBot="1" x14ac:dyDescent="0.45">
      <c r="A600" s="40" t="s">
        <v>3316</v>
      </c>
      <c r="B600" s="3" t="s">
        <v>3317</v>
      </c>
      <c r="C600" s="3">
        <v>507</v>
      </c>
      <c r="D600" s="23">
        <v>37001</v>
      </c>
      <c r="E600" s="3" t="s">
        <v>1</v>
      </c>
      <c r="F600" s="3" t="s">
        <v>1238</v>
      </c>
      <c r="G600" s="3">
        <v>6</v>
      </c>
      <c r="H600" s="3" t="s">
        <v>18</v>
      </c>
      <c r="K600" s="23" t="s">
        <v>1189</v>
      </c>
      <c r="L600" s="23">
        <v>44643</v>
      </c>
      <c r="M600" s="23">
        <v>44646</v>
      </c>
      <c r="N600" s="23">
        <v>44643</v>
      </c>
    </row>
    <row r="601" spans="1:17" ht="24" customHeight="1" thickTop="1" thickBot="1" x14ac:dyDescent="0.45">
      <c r="A601" s="40" t="s">
        <v>3318</v>
      </c>
      <c r="B601" s="3" t="s">
        <v>3319</v>
      </c>
      <c r="C601" s="3">
        <v>364</v>
      </c>
      <c r="D601" s="23">
        <v>35636</v>
      </c>
      <c r="E601" s="3" t="s">
        <v>1</v>
      </c>
      <c r="F601" s="3" t="s">
        <v>1238</v>
      </c>
      <c r="G601" s="3">
        <v>6</v>
      </c>
      <c r="H601" s="3" t="s">
        <v>18</v>
      </c>
      <c r="K601" s="43" t="s">
        <v>1151</v>
      </c>
      <c r="L601" s="61"/>
      <c r="M601" s="23">
        <v>44333</v>
      </c>
    </row>
    <row r="602" spans="1:17" ht="24" customHeight="1" thickTop="1" thickBot="1" x14ac:dyDescent="0.45">
      <c r="A602" s="40" t="s">
        <v>3320</v>
      </c>
      <c r="B602" s="3" t="s">
        <v>3321</v>
      </c>
      <c r="C602" s="3">
        <v>434</v>
      </c>
      <c r="D602" s="23">
        <v>34718</v>
      </c>
      <c r="E602" s="3" t="s">
        <v>1</v>
      </c>
      <c r="F602" s="3" t="s">
        <v>1238</v>
      </c>
      <c r="G602" s="3">
        <v>6</v>
      </c>
      <c r="H602" s="3" t="s">
        <v>18</v>
      </c>
      <c r="K602" s="43" t="s">
        <v>1137</v>
      </c>
      <c r="L602" s="61"/>
      <c r="M602" s="23">
        <v>44517</v>
      </c>
      <c r="N602" s="23">
        <v>44518</v>
      </c>
    </row>
    <row r="603" spans="1:17" ht="24" customHeight="1" thickTop="1" thickBot="1" x14ac:dyDescent="0.45">
      <c r="A603" s="40" t="s">
        <v>3322</v>
      </c>
      <c r="B603" s="3" t="s">
        <v>3323</v>
      </c>
      <c r="C603" s="3">
        <v>275</v>
      </c>
      <c r="D603" s="23">
        <v>34432</v>
      </c>
      <c r="E603" s="3" t="s">
        <v>1</v>
      </c>
      <c r="F603" s="3" t="s">
        <v>1238</v>
      </c>
      <c r="G603" s="3">
        <v>6</v>
      </c>
      <c r="H603" s="3" t="s">
        <v>18</v>
      </c>
      <c r="K603" s="23" t="s">
        <v>1132</v>
      </c>
      <c r="M603" s="23">
        <v>43570</v>
      </c>
      <c r="N603" s="23">
        <v>44551</v>
      </c>
    </row>
    <row r="604" spans="1:17" ht="24" customHeight="1" thickTop="1" thickBot="1" x14ac:dyDescent="0.45">
      <c r="A604" s="40" t="s">
        <v>3324</v>
      </c>
      <c r="B604" s="3" t="s">
        <v>3325</v>
      </c>
      <c r="C604" s="3">
        <v>699</v>
      </c>
      <c r="D604" s="23">
        <v>34804</v>
      </c>
      <c r="E604" s="3" t="s">
        <v>1</v>
      </c>
      <c r="F604" s="3" t="s">
        <v>1238</v>
      </c>
      <c r="G604" s="3">
        <v>6</v>
      </c>
      <c r="H604" s="3" t="s">
        <v>18</v>
      </c>
      <c r="K604" s="23" t="s">
        <v>3326</v>
      </c>
      <c r="L604" s="23">
        <v>45469</v>
      </c>
      <c r="M604" s="23">
        <v>45493</v>
      </c>
      <c r="N604" s="23">
        <v>45474</v>
      </c>
      <c r="O604" s="23">
        <v>45523</v>
      </c>
      <c r="P604" s="23">
        <v>45599</v>
      </c>
      <c r="Q604" s="23">
        <v>45930</v>
      </c>
    </row>
    <row r="605" spans="1:17" ht="24" customHeight="1" thickTop="1" thickBot="1" x14ac:dyDescent="0.45">
      <c r="A605" s="40" t="s">
        <v>3327</v>
      </c>
      <c r="B605" s="3" t="s">
        <v>3328</v>
      </c>
      <c r="C605" s="3">
        <v>382</v>
      </c>
      <c r="D605" s="23" t="s">
        <v>3749</v>
      </c>
      <c r="E605" s="3" t="s">
        <v>1</v>
      </c>
      <c r="F605" s="3" t="s">
        <v>1238</v>
      </c>
      <c r="G605" s="3">
        <v>6</v>
      </c>
      <c r="H605" s="3" t="s">
        <v>18</v>
      </c>
      <c r="K605" s="23" t="s">
        <v>1157</v>
      </c>
      <c r="M605" s="23">
        <v>44366</v>
      </c>
    </row>
    <row r="606" spans="1:17" ht="24" customHeight="1" thickTop="1" thickBot="1" x14ac:dyDescent="0.45">
      <c r="A606" s="40" t="s">
        <v>3329</v>
      </c>
      <c r="B606" s="3" t="s">
        <v>3330</v>
      </c>
      <c r="C606" s="3">
        <v>192</v>
      </c>
      <c r="D606" s="23">
        <v>33139</v>
      </c>
      <c r="E606" s="3" t="s">
        <v>1</v>
      </c>
      <c r="F606" s="3" t="s">
        <v>1238</v>
      </c>
      <c r="G606" s="3">
        <v>6</v>
      </c>
      <c r="H606" s="3" t="s">
        <v>18</v>
      </c>
      <c r="M606" s="23">
        <v>43299</v>
      </c>
    </row>
    <row r="607" spans="1:17" ht="24" customHeight="1" thickTop="1" thickBot="1" x14ac:dyDescent="0.45">
      <c r="A607" s="40" t="s">
        <v>3331</v>
      </c>
      <c r="B607" s="3" t="s">
        <v>3332</v>
      </c>
      <c r="C607" s="3">
        <v>477</v>
      </c>
      <c r="D607" s="23">
        <v>34501</v>
      </c>
      <c r="E607" s="3" t="s">
        <v>1</v>
      </c>
      <c r="F607" s="3" t="s">
        <v>1238</v>
      </c>
      <c r="G607" s="3">
        <v>6</v>
      </c>
      <c r="H607" s="3" t="s">
        <v>18</v>
      </c>
      <c r="K607" s="23" t="s">
        <v>1183</v>
      </c>
      <c r="L607" s="23">
        <v>44593</v>
      </c>
      <c r="M607" s="23">
        <v>44605</v>
      </c>
      <c r="N607" s="23">
        <v>44593</v>
      </c>
    </row>
    <row r="608" spans="1:17" ht="24" customHeight="1" thickTop="1" thickBot="1" x14ac:dyDescent="0.45">
      <c r="A608" s="40" t="s">
        <v>3333</v>
      </c>
      <c r="B608" s="3" t="s">
        <v>3334</v>
      </c>
      <c r="C608" s="3">
        <v>211</v>
      </c>
      <c r="D608" s="23" t="s">
        <v>3749</v>
      </c>
      <c r="E608" s="3" t="s">
        <v>1</v>
      </c>
      <c r="F608" s="3" t="s">
        <v>1238</v>
      </c>
      <c r="G608" s="3">
        <v>6</v>
      </c>
      <c r="H608" s="3" t="s">
        <v>18</v>
      </c>
      <c r="M608" s="23">
        <v>43303</v>
      </c>
      <c r="N608" s="23">
        <v>44884</v>
      </c>
      <c r="Q608" s="23">
        <v>44884</v>
      </c>
    </row>
    <row r="609" spans="1:17" ht="24" customHeight="1" thickTop="1" thickBot="1" x14ac:dyDescent="0.45">
      <c r="A609" s="40" t="s">
        <v>3335</v>
      </c>
      <c r="B609" s="3" t="s">
        <v>3336</v>
      </c>
      <c r="C609" s="3">
        <v>220</v>
      </c>
      <c r="D609" s="23">
        <v>34163</v>
      </c>
      <c r="E609" s="3" t="s">
        <v>1</v>
      </c>
      <c r="F609" s="3" t="s">
        <v>1238</v>
      </c>
      <c r="G609" s="3">
        <v>6</v>
      </c>
      <c r="H609" s="3" t="s">
        <v>18</v>
      </c>
      <c r="M609" s="23">
        <v>43315</v>
      </c>
    </row>
    <row r="610" spans="1:17" ht="24" customHeight="1" thickTop="1" thickBot="1" x14ac:dyDescent="0.45">
      <c r="A610" s="40" t="s">
        <v>3337</v>
      </c>
      <c r="B610" s="3" t="s">
        <v>3338</v>
      </c>
      <c r="C610" s="3">
        <v>568</v>
      </c>
      <c r="D610" s="23" t="s">
        <v>3749</v>
      </c>
      <c r="E610" s="3" t="s">
        <v>1</v>
      </c>
      <c r="F610" s="3" t="s">
        <v>1238</v>
      </c>
      <c r="G610" s="3">
        <v>6</v>
      </c>
      <c r="H610" s="3" t="s">
        <v>18</v>
      </c>
      <c r="K610" s="23" t="s">
        <v>8</v>
      </c>
      <c r="L610" s="23">
        <v>44942</v>
      </c>
      <c r="M610" s="23">
        <v>44949</v>
      </c>
      <c r="N610" s="23">
        <v>44942</v>
      </c>
    </row>
    <row r="611" spans="1:17" ht="24" customHeight="1" thickTop="1" thickBot="1" x14ac:dyDescent="0.45">
      <c r="A611" s="40" t="s">
        <v>3339</v>
      </c>
      <c r="B611" s="3" t="s">
        <v>3340</v>
      </c>
      <c r="C611" s="3">
        <v>493</v>
      </c>
      <c r="D611" s="23">
        <v>34012</v>
      </c>
      <c r="E611" s="3" t="s">
        <v>1</v>
      </c>
      <c r="F611" s="3" t="s">
        <v>1238</v>
      </c>
      <c r="G611" s="3">
        <v>6</v>
      </c>
      <c r="H611" s="3" t="s">
        <v>18</v>
      </c>
      <c r="K611" s="23" t="s">
        <v>109</v>
      </c>
      <c r="L611" s="23">
        <v>44612</v>
      </c>
      <c r="M611" s="23">
        <v>44621</v>
      </c>
      <c r="N611" s="23">
        <v>44612</v>
      </c>
    </row>
    <row r="612" spans="1:17" ht="24" customHeight="1" thickTop="1" thickBot="1" x14ac:dyDescent="0.45">
      <c r="A612" s="40" t="s">
        <v>3341</v>
      </c>
      <c r="B612" s="3" t="s">
        <v>3342</v>
      </c>
      <c r="C612" s="3">
        <v>329</v>
      </c>
      <c r="D612" s="23" t="s">
        <v>3749</v>
      </c>
      <c r="E612" s="3" t="s">
        <v>1</v>
      </c>
      <c r="F612" s="3" t="s">
        <v>1238</v>
      </c>
      <c r="G612" s="3">
        <v>6</v>
      </c>
      <c r="H612" s="3" t="s">
        <v>18</v>
      </c>
      <c r="M612" s="23">
        <v>44268</v>
      </c>
    </row>
    <row r="613" spans="1:17" ht="24" customHeight="1" thickTop="1" thickBot="1" x14ac:dyDescent="0.45">
      <c r="A613" s="40" t="s">
        <v>3343</v>
      </c>
      <c r="B613" s="3" t="s">
        <v>3344</v>
      </c>
      <c r="C613" s="3">
        <v>427</v>
      </c>
      <c r="D613" s="23">
        <v>32398</v>
      </c>
      <c r="E613" s="3" t="s">
        <v>1</v>
      </c>
      <c r="F613" s="3" t="s">
        <v>1238</v>
      </c>
      <c r="G613" s="3">
        <v>6</v>
      </c>
      <c r="H613" s="3" t="s">
        <v>18</v>
      </c>
      <c r="K613" s="23" t="s">
        <v>1150</v>
      </c>
      <c r="M613" s="23">
        <v>44511</v>
      </c>
    </row>
    <row r="614" spans="1:17" ht="24" customHeight="1" thickTop="1" thickBot="1" x14ac:dyDescent="0.45">
      <c r="A614" s="40" t="s">
        <v>3345</v>
      </c>
      <c r="B614" s="3" t="s">
        <v>3346</v>
      </c>
      <c r="C614" s="3">
        <v>354</v>
      </c>
      <c r="D614" s="23" t="s">
        <v>3749</v>
      </c>
      <c r="E614" s="3" t="s">
        <v>1</v>
      </c>
      <c r="F614" s="3" t="s">
        <v>1238</v>
      </c>
      <c r="G614" s="3">
        <v>6</v>
      </c>
      <c r="H614" s="3" t="s">
        <v>18</v>
      </c>
      <c r="M614" s="23">
        <v>44322</v>
      </c>
    </row>
    <row r="615" spans="1:17" ht="24" customHeight="1" thickTop="1" thickBot="1" x14ac:dyDescent="0.45">
      <c r="A615" s="40" t="s">
        <v>3347</v>
      </c>
      <c r="B615" s="3" t="s">
        <v>3348</v>
      </c>
      <c r="C615" s="3">
        <v>352</v>
      </c>
      <c r="D615" s="23" t="s">
        <v>3749</v>
      </c>
      <c r="E615" s="3" t="s">
        <v>1</v>
      </c>
      <c r="F615" s="3" t="s">
        <v>1238</v>
      </c>
      <c r="G615" s="3">
        <v>6</v>
      </c>
      <c r="H615" s="3" t="s">
        <v>18</v>
      </c>
      <c r="K615" s="23" t="s">
        <v>1117</v>
      </c>
      <c r="M615" s="23">
        <v>44307</v>
      </c>
    </row>
    <row r="616" spans="1:17" ht="24" customHeight="1" thickTop="1" thickBot="1" x14ac:dyDescent="0.45">
      <c r="A616" s="40" t="s">
        <v>3349</v>
      </c>
      <c r="B616" s="3" t="s">
        <v>3350</v>
      </c>
      <c r="C616" s="3">
        <v>340</v>
      </c>
      <c r="D616" s="23" t="s">
        <v>3749</v>
      </c>
      <c r="E616" s="3" t="s">
        <v>1</v>
      </c>
      <c r="F616" s="3" t="s">
        <v>1238</v>
      </c>
      <c r="G616" s="3">
        <v>6</v>
      </c>
      <c r="H616" s="3" t="s">
        <v>18</v>
      </c>
      <c r="K616" s="23" t="s">
        <v>93</v>
      </c>
      <c r="M616" s="23">
        <v>44269</v>
      </c>
    </row>
    <row r="617" spans="1:17" ht="24" customHeight="1" thickTop="1" thickBot="1" x14ac:dyDescent="0.45">
      <c r="A617" s="40" t="s">
        <v>3351</v>
      </c>
      <c r="B617" s="3" t="s">
        <v>3352</v>
      </c>
      <c r="C617" s="3">
        <v>532</v>
      </c>
      <c r="D617" s="23">
        <v>36848</v>
      </c>
      <c r="E617" s="3" t="s">
        <v>1</v>
      </c>
      <c r="F617" s="3" t="s">
        <v>1239</v>
      </c>
      <c r="G617" s="3">
        <v>7</v>
      </c>
      <c r="H617" s="3" t="s">
        <v>18</v>
      </c>
      <c r="K617" s="23" t="s">
        <v>984</v>
      </c>
      <c r="L617" s="23">
        <v>45442</v>
      </c>
      <c r="M617" s="23">
        <v>44743</v>
      </c>
      <c r="N617" s="23">
        <v>44748</v>
      </c>
      <c r="O617" s="23">
        <v>45474</v>
      </c>
      <c r="P617" s="23">
        <v>45832</v>
      </c>
    </row>
    <row r="618" spans="1:17" ht="24" customHeight="1" thickTop="1" thickBot="1" x14ac:dyDescent="0.45">
      <c r="A618" s="40" t="s">
        <v>3353</v>
      </c>
      <c r="B618" s="3" t="s">
        <v>3354</v>
      </c>
      <c r="C618" s="3">
        <v>437</v>
      </c>
      <c r="D618" s="23">
        <v>33654</v>
      </c>
      <c r="E618" s="3" t="s">
        <v>1</v>
      </c>
      <c r="F618" s="3" t="s">
        <v>1239</v>
      </c>
      <c r="G618" s="3">
        <v>7</v>
      </c>
      <c r="H618" s="3" t="s">
        <v>18</v>
      </c>
      <c r="K618" s="23" t="s">
        <v>1169</v>
      </c>
      <c r="L618" s="23">
        <v>44513</v>
      </c>
      <c r="M618" s="23">
        <v>44519</v>
      </c>
      <c r="N618" s="23">
        <v>44522</v>
      </c>
      <c r="O618" s="23" t="s">
        <v>3355</v>
      </c>
      <c r="P618" s="23" t="s">
        <v>3356</v>
      </c>
    </row>
    <row r="619" spans="1:17" ht="24" customHeight="1" thickTop="1" thickBot="1" x14ac:dyDescent="0.45">
      <c r="A619" s="40" t="s">
        <v>3357</v>
      </c>
      <c r="B619" s="3" t="s">
        <v>3358</v>
      </c>
      <c r="C619" s="3">
        <v>289</v>
      </c>
      <c r="D619" s="23" t="s">
        <v>3749</v>
      </c>
      <c r="E619" s="3" t="s">
        <v>1</v>
      </c>
      <c r="F619" s="3" t="s">
        <v>1239</v>
      </c>
      <c r="G619" s="3">
        <v>7</v>
      </c>
      <c r="H619" s="3" t="s">
        <v>18</v>
      </c>
      <c r="K619" s="23" t="s">
        <v>1136</v>
      </c>
      <c r="M619" s="23">
        <v>43640</v>
      </c>
      <c r="N619" s="23">
        <v>44593</v>
      </c>
      <c r="Q619" s="23">
        <v>44593</v>
      </c>
    </row>
    <row r="620" spans="1:17" ht="24" customHeight="1" thickTop="1" thickBot="1" x14ac:dyDescent="0.45">
      <c r="A620" s="40" t="s">
        <v>3359</v>
      </c>
      <c r="B620" s="3" t="s">
        <v>3360</v>
      </c>
      <c r="C620" s="3">
        <v>486</v>
      </c>
      <c r="D620" s="23">
        <v>34687</v>
      </c>
      <c r="E620" s="3" t="s">
        <v>1</v>
      </c>
      <c r="F620" s="3" t="s">
        <v>1239</v>
      </c>
      <c r="G620" s="3">
        <v>7</v>
      </c>
      <c r="H620" s="3" t="s">
        <v>18</v>
      </c>
      <c r="K620" s="23" t="s">
        <v>1176</v>
      </c>
      <c r="L620" s="23">
        <v>44561</v>
      </c>
      <c r="M620" s="23">
        <v>44613</v>
      </c>
      <c r="N620" s="23">
        <v>44561</v>
      </c>
    </row>
    <row r="621" spans="1:17" ht="24" customHeight="1" thickTop="1" thickBot="1" x14ac:dyDescent="0.45">
      <c r="A621" s="40" t="s">
        <v>3361</v>
      </c>
      <c r="B621" s="3" t="s">
        <v>3362</v>
      </c>
      <c r="C621" s="3">
        <v>570</v>
      </c>
      <c r="D621" s="23" t="s">
        <v>3749</v>
      </c>
      <c r="E621" s="3" t="s">
        <v>1</v>
      </c>
      <c r="F621" s="3" t="s">
        <v>1239</v>
      </c>
      <c r="G621" s="3">
        <v>7</v>
      </c>
      <c r="H621" s="3" t="s">
        <v>18</v>
      </c>
      <c r="K621" s="23" t="s">
        <v>1006</v>
      </c>
      <c r="L621" s="23">
        <v>44942</v>
      </c>
      <c r="M621" s="23">
        <v>44952</v>
      </c>
      <c r="N621" s="23">
        <v>44942</v>
      </c>
    </row>
    <row r="622" spans="1:17" ht="24" customHeight="1" thickTop="1" thickBot="1" x14ac:dyDescent="0.45">
      <c r="A622" s="40" t="s">
        <v>3363</v>
      </c>
      <c r="B622" s="3" t="s">
        <v>3364</v>
      </c>
      <c r="C622" s="3">
        <v>484</v>
      </c>
      <c r="D622" s="23">
        <v>34663</v>
      </c>
      <c r="E622" s="3" t="s">
        <v>1</v>
      </c>
      <c r="F622" s="3" t="s">
        <v>1239</v>
      </c>
      <c r="G622" s="3">
        <v>7</v>
      </c>
      <c r="H622" s="3" t="s">
        <v>18</v>
      </c>
      <c r="K622" s="43" t="s">
        <v>1182</v>
      </c>
      <c r="L622" s="61">
        <v>44599</v>
      </c>
      <c r="M622" s="23">
        <v>44612</v>
      </c>
      <c r="N622" s="23">
        <v>44599</v>
      </c>
    </row>
    <row r="623" spans="1:17" ht="24" customHeight="1" thickTop="1" thickBot="1" x14ac:dyDescent="0.45">
      <c r="A623" s="40" t="s">
        <v>3365</v>
      </c>
      <c r="B623" s="3" t="s">
        <v>3366</v>
      </c>
      <c r="C623" s="3">
        <v>483</v>
      </c>
      <c r="D623" s="23">
        <v>35002</v>
      </c>
      <c r="E623" s="3" t="s">
        <v>1</v>
      </c>
      <c r="F623" s="3" t="s">
        <v>1239</v>
      </c>
      <c r="G623" s="3">
        <v>7</v>
      </c>
      <c r="H623" s="3" t="s">
        <v>18</v>
      </c>
      <c r="K623" s="23" t="s">
        <v>1188</v>
      </c>
      <c r="M623" s="23">
        <v>44611</v>
      </c>
      <c r="N623" s="23">
        <v>44612</v>
      </c>
    </row>
    <row r="624" spans="1:17" ht="24" customHeight="1" thickTop="1" thickBot="1" x14ac:dyDescent="0.45">
      <c r="A624" s="40" t="s">
        <v>3367</v>
      </c>
      <c r="B624" s="3" t="s">
        <v>3368</v>
      </c>
      <c r="C624" s="3">
        <v>559</v>
      </c>
      <c r="D624" s="23" t="s">
        <v>3749</v>
      </c>
      <c r="E624" s="3" t="s">
        <v>1</v>
      </c>
      <c r="F624" s="3" t="s">
        <v>1239</v>
      </c>
      <c r="G624" s="3">
        <v>7</v>
      </c>
      <c r="H624" s="3" t="s">
        <v>18</v>
      </c>
      <c r="M624" s="23">
        <v>44943</v>
      </c>
      <c r="N624" s="23">
        <v>44942</v>
      </c>
      <c r="O624" s="23">
        <v>44942</v>
      </c>
    </row>
    <row r="625" spans="1:16" ht="24" customHeight="1" thickTop="1" thickBot="1" x14ac:dyDescent="0.45">
      <c r="A625" s="40" t="s">
        <v>3369</v>
      </c>
      <c r="B625" s="3" t="s">
        <v>3370</v>
      </c>
      <c r="C625" s="3">
        <v>531</v>
      </c>
      <c r="D625" s="23" t="s">
        <v>3749</v>
      </c>
      <c r="E625" s="3" t="s">
        <v>1</v>
      </c>
      <c r="F625" s="3" t="s">
        <v>1239</v>
      </c>
      <c r="G625" s="3">
        <v>7</v>
      </c>
      <c r="H625" s="3" t="s">
        <v>18</v>
      </c>
      <c r="M625" s="23">
        <v>44741</v>
      </c>
    </row>
    <row r="626" spans="1:16" ht="24" customHeight="1" thickTop="1" thickBot="1" x14ac:dyDescent="0.45">
      <c r="A626" s="40" t="s">
        <v>3371</v>
      </c>
      <c r="B626" s="3" t="s">
        <v>3372</v>
      </c>
      <c r="C626" s="3">
        <v>375</v>
      </c>
      <c r="D626" s="23" t="s">
        <v>3749</v>
      </c>
      <c r="E626" s="3" t="s">
        <v>1</v>
      </c>
      <c r="F626" s="3" t="s">
        <v>1239</v>
      </c>
      <c r="G626" s="3">
        <v>7</v>
      </c>
      <c r="H626" s="3" t="s">
        <v>18</v>
      </c>
      <c r="M626" s="23">
        <v>44350</v>
      </c>
      <c r="N626" s="23">
        <v>45985</v>
      </c>
    </row>
    <row r="627" spans="1:16" ht="24" customHeight="1" thickTop="1" thickBot="1" x14ac:dyDescent="0.45">
      <c r="A627" s="40" t="s">
        <v>3373</v>
      </c>
      <c r="B627" s="3" t="s">
        <v>3374</v>
      </c>
      <c r="C627" s="3">
        <v>323</v>
      </c>
      <c r="D627" s="23" t="s">
        <v>3749</v>
      </c>
      <c r="E627" s="3" t="s">
        <v>1</v>
      </c>
      <c r="F627" s="3" t="s">
        <v>1239</v>
      </c>
      <c r="G627" s="3">
        <v>7</v>
      </c>
      <c r="H627" s="3" t="s">
        <v>18</v>
      </c>
      <c r="M627" s="23">
        <v>44268</v>
      </c>
      <c r="N627" s="23">
        <v>44435</v>
      </c>
      <c r="P627" s="23">
        <v>44435</v>
      </c>
    </row>
    <row r="628" spans="1:16" ht="24" customHeight="1" thickTop="1" thickBot="1" x14ac:dyDescent="0.45">
      <c r="A628" s="40" t="s">
        <v>3375</v>
      </c>
      <c r="B628" s="3" t="s">
        <v>3376</v>
      </c>
      <c r="C628" s="3">
        <v>404</v>
      </c>
      <c r="D628" s="23">
        <v>34119</v>
      </c>
      <c r="E628" s="3" t="s">
        <v>1</v>
      </c>
      <c r="F628" s="3" t="s">
        <v>1239</v>
      </c>
      <c r="G628" s="3">
        <v>7</v>
      </c>
      <c r="H628" s="3" t="s">
        <v>18</v>
      </c>
      <c r="K628" s="23" t="s">
        <v>86</v>
      </c>
      <c r="M628" s="23">
        <v>44406</v>
      </c>
      <c r="N628" s="23">
        <v>44593</v>
      </c>
    </row>
    <row r="629" spans="1:16" ht="24" customHeight="1" thickTop="1" thickBot="1" x14ac:dyDescent="0.45">
      <c r="A629" s="40" t="s">
        <v>3377</v>
      </c>
      <c r="B629" s="3" t="s">
        <v>3378</v>
      </c>
      <c r="C629" s="3">
        <v>454</v>
      </c>
      <c r="D629" s="23" t="s">
        <v>3749</v>
      </c>
      <c r="E629" s="3" t="s">
        <v>1</v>
      </c>
      <c r="F629" s="3" t="s">
        <v>1239</v>
      </c>
      <c r="G629" s="3">
        <v>7</v>
      </c>
      <c r="H629" s="3" t="s">
        <v>18</v>
      </c>
      <c r="L629" s="23">
        <v>44525</v>
      </c>
      <c r="M629" s="23">
        <v>44530</v>
      </c>
      <c r="N629" s="23">
        <v>44525</v>
      </c>
    </row>
    <row r="630" spans="1:16" ht="24" customHeight="1" thickTop="1" thickBot="1" x14ac:dyDescent="0.45">
      <c r="A630" s="40" t="s">
        <v>3379</v>
      </c>
      <c r="B630" s="3" t="s">
        <v>3380</v>
      </c>
      <c r="C630" s="3">
        <v>579</v>
      </c>
      <c r="D630" s="23" t="s">
        <v>3749</v>
      </c>
      <c r="E630" s="3" t="s">
        <v>1</v>
      </c>
      <c r="F630" s="3" t="s">
        <v>1239</v>
      </c>
      <c r="G630" s="3">
        <v>7</v>
      </c>
      <c r="H630" s="3" t="s">
        <v>18</v>
      </c>
      <c r="L630" s="23">
        <v>44942</v>
      </c>
      <c r="M630" s="23">
        <v>44955</v>
      </c>
      <c r="N630" s="23">
        <v>44942</v>
      </c>
    </row>
    <row r="631" spans="1:16" ht="24" customHeight="1" thickTop="1" thickBot="1" x14ac:dyDescent="0.45">
      <c r="A631" s="40" t="s">
        <v>3381</v>
      </c>
      <c r="B631" s="3" t="s">
        <v>3382</v>
      </c>
      <c r="C631" s="3">
        <v>730</v>
      </c>
      <c r="D631" s="23">
        <v>36016</v>
      </c>
      <c r="E631" s="3" t="s">
        <v>1</v>
      </c>
      <c r="F631" s="3" t="s">
        <v>6</v>
      </c>
      <c r="G631" s="3">
        <v>7</v>
      </c>
      <c r="H631" s="3" t="s">
        <v>18</v>
      </c>
      <c r="K631" s="23" t="s">
        <v>1216</v>
      </c>
      <c r="L631" s="23">
        <v>45471</v>
      </c>
      <c r="M631" s="23">
        <v>45642</v>
      </c>
      <c r="N631" s="23">
        <v>45474</v>
      </c>
      <c r="O631" s="23">
        <v>45523</v>
      </c>
      <c r="P631" s="23">
        <v>45802</v>
      </c>
    </row>
    <row r="632" spans="1:16" ht="24" customHeight="1" thickTop="1" thickBot="1" x14ac:dyDescent="0.45">
      <c r="A632" s="40" t="s">
        <v>3383</v>
      </c>
      <c r="B632" s="3" t="s">
        <v>3384</v>
      </c>
      <c r="C632" s="3">
        <v>359</v>
      </c>
      <c r="D632" s="23">
        <v>35905</v>
      </c>
      <c r="E632" s="3" t="s">
        <v>1</v>
      </c>
      <c r="F632" s="3" t="s">
        <v>6</v>
      </c>
      <c r="G632" s="3">
        <v>7</v>
      </c>
      <c r="H632" s="3" t="s">
        <v>18</v>
      </c>
      <c r="K632" s="23" t="s">
        <v>973</v>
      </c>
      <c r="L632" s="23">
        <v>44329</v>
      </c>
      <c r="M632" s="23">
        <v>44329</v>
      </c>
      <c r="N632" s="23">
        <v>44387</v>
      </c>
      <c r="O632" s="23">
        <v>44387</v>
      </c>
      <c r="P632" s="23">
        <v>45985</v>
      </c>
    </row>
    <row r="633" spans="1:16" ht="24" customHeight="1" thickTop="1" thickBot="1" x14ac:dyDescent="0.45">
      <c r="A633" s="40" t="s">
        <v>3385</v>
      </c>
      <c r="B633" s="3" t="s">
        <v>3386</v>
      </c>
      <c r="C633" s="3">
        <v>655</v>
      </c>
      <c r="D633" s="23">
        <v>36418</v>
      </c>
      <c r="E633" s="3" t="s">
        <v>1</v>
      </c>
      <c r="F633" s="3" t="s">
        <v>6</v>
      </c>
      <c r="G633" s="3">
        <v>7</v>
      </c>
      <c r="H633" s="3" t="s">
        <v>18</v>
      </c>
      <c r="K633" s="23" t="s">
        <v>1210</v>
      </c>
      <c r="L633" s="23">
        <v>45266</v>
      </c>
      <c r="M633" s="23">
        <v>45300</v>
      </c>
      <c r="N633" s="23">
        <v>45272</v>
      </c>
      <c r="O633" s="23">
        <v>45330</v>
      </c>
      <c r="P633" s="23">
        <v>45376</v>
      </c>
    </row>
    <row r="634" spans="1:16" ht="24" customHeight="1" thickTop="1" thickBot="1" x14ac:dyDescent="0.45">
      <c r="A634" s="40" t="s">
        <v>3387</v>
      </c>
      <c r="B634" s="3" t="s">
        <v>3388</v>
      </c>
      <c r="C634" s="3">
        <v>700</v>
      </c>
      <c r="D634" s="23">
        <v>36835</v>
      </c>
      <c r="E634" s="3" t="s">
        <v>1</v>
      </c>
      <c r="F634" s="3" t="s">
        <v>6</v>
      </c>
      <c r="G634" s="3">
        <v>7</v>
      </c>
      <c r="H634" s="3" t="s">
        <v>18</v>
      </c>
      <c r="K634" s="23" t="s">
        <v>999</v>
      </c>
      <c r="L634" s="23">
        <v>45464</v>
      </c>
      <c r="M634" s="23">
        <v>45502</v>
      </c>
      <c r="N634" s="23">
        <v>45474</v>
      </c>
      <c r="O634" s="23">
        <v>45540</v>
      </c>
      <c r="P634" s="23">
        <v>45832</v>
      </c>
    </row>
    <row r="635" spans="1:16" ht="24" customHeight="1" thickTop="1" thickBot="1" x14ac:dyDescent="0.45">
      <c r="A635" s="40" t="s">
        <v>3389</v>
      </c>
      <c r="B635" s="3" t="s">
        <v>3390</v>
      </c>
      <c r="C635" s="3">
        <v>526</v>
      </c>
      <c r="D635" s="23">
        <v>35034</v>
      </c>
      <c r="E635" s="3" t="s">
        <v>1</v>
      </c>
      <c r="F635" s="3" t="s">
        <v>6</v>
      </c>
      <c r="G635" s="3">
        <v>7</v>
      </c>
      <c r="H635" s="3" t="s">
        <v>18</v>
      </c>
      <c r="K635" s="23" t="s">
        <v>1197</v>
      </c>
      <c r="L635" s="23">
        <v>44728</v>
      </c>
      <c r="M635" s="23">
        <v>44733</v>
      </c>
      <c r="N635" s="23">
        <v>44728</v>
      </c>
    </row>
    <row r="636" spans="1:16" ht="24" customHeight="1" thickTop="1" thickBot="1" x14ac:dyDescent="0.45">
      <c r="A636" s="40" t="s">
        <v>3391</v>
      </c>
      <c r="B636" s="3" t="s">
        <v>3392</v>
      </c>
      <c r="C636" s="3">
        <v>598</v>
      </c>
      <c r="D636" s="23" t="s">
        <v>3749</v>
      </c>
      <c r="E636" s="3" t="s">
        <v>1</v>
      </c>
      <c r="F636" s="3" t="s">
        <v>6</v>
      </c>
      <c r="G636" s="3">
        <v>7</v>
      </c>
      <c r="H636" s="3" t="s">
        <v>18</v>
      </c>
      <c r="K636" s="23" t="s">
        <v>1205</v>
      </c>
      <c r="L636" s="23">
        <v>44994</v>
      </c>
      <c r="M636" s="23">
        <v>45044</v>
      </c>
      <c r="N636" s="23">
        <v>44994</v>
      </c>
    </row>
    <row r="637" spans="1:16" ht="24" customHeight="1" thickTop="1" thickBot="1" x14ac:dyDescent="0.45">
      <c r="A637" s="40" t="s">
        <v>3393</v>
      </c>
      <c r="B637" s="3" t="s">
        <v>3394</v>
      </c>
      <c r="C637" s="3">
        <v>480</v>
      </c>
      <c r="D637" s="23">
        <v>34183</v>
      </c>
      <c r="E637" s="3" t="s">
        <v>1</v>
      </c>
      <c r="F637" s="3" t="s">
        <v>6</v>
      </c>
      <c r="G637" s="3">
        <v>7</v>
      </c>
      <c r="H637" s="3" t="s">
        <v>18</v>
      </c>
      <c r="K637" s="23" t="s">
        <v>106</v>
      </c>
      <c r="L637" s="23">
        <v>44599</v>
      </c>
      <c r="M637" s="23">
        <v>44607</v>
      </c>
      <c r="N637" s="23">
        <v>44599</v>
      </c>
    </row>
    <row r="638" spans="1:16" ht="24" customHeight="1" thickTop="1" thickBot="1" x14ac:dyDescent="0.45">
      <c r="A638" s="40" t="s">
        <v>3395</v>
      </c>
      <c r="B638" s="3" t="s">
        <v>3396</v>
      </c>
      <c r="C638" s="3">
        <v>465</v>
      </c>
      <c r="D638" s="23">
        <v>35493</v>
      </c>
      <c r="E638" s="3" t="s">
        <v>1</v>
      </c>
      <c r="F638" s="3" t="s">
        <v>6</v>
      </c>
      <c r="G638" s="3">
        <v>7</v>
      </c>
      <c r="H638" s="3" t="s">
        <v>18</v>
      </c>
      <c r="K638" s="23" t="s">
        <v>1164</v>
      </c>
      <c r="M638" s="23">
        <v>44560</v>
      </c>
      <c r="N638" s="23">
        <v>44431</v>
      </c>
      <c r="O638" s="23">
        <v>44431</v>
      </c>
    </row>
    <row r="639" spans="1:16" ht="24" customHeight="1" thickTop="1" thickBot="1" x14ac:dyDescent="0.45">
      <c r="A639" s="40" t="s">
        <v>3397</v>
      </c>
      <c r="B639" s="3" t="s">
        <v>3398</v>
      </c>
      <c r="C639" s="3">
        <v>420</v>
      </c>
      <c r="D639" s="23" t="s">
        <v>3749</v>
      </c>
      <c r="E639" s="3" t="s">
        <v>1</v>
      </c>
      <c r="F639" s="3" t="s">
        <v>6</v>
      </c>
      <c r="G639" s="3">
        <v>7</v>
      </c>
      <c r="H639" s="3" t="s">
        <v>18</v>
      </c>
      <c r="M639" s="23">
        <v>44461</v>
      </c>
    </row>
    <row r="640" spans="1:16" ht="24" customHeight="1" thickTop="1" thickBot="1" x14ac:dyDescent="0.45">
      <c r="A640" s="40" t="s">
        <v>3399</v>
      </c>
      <c r="B640" s="3" t="s">
        <v>3400</v>
      </c>
      <c r="C640" s="3">
        <v>563</v>
      </c>
      <c r="D640" s="23" t="s">
        <v>3749</v>
      </c>
      <c r="E640" s="3" t="s">
        <v>1</v>
      </c>
      <c r="F640" s="3" t="s">
        <v>6</v>
      </c>
      <c r="G640" s="3">
        <v>7</v>
      </c>
      <c r="H640" s="3" t="s">
        <v>18</v>
      </c>
      <c r="M640" s="23">
        <v>44945</v>
      </c>
      <c r="N640" s="23">
        <v>44958</v>
      </c>
    </row>
    <row r="641" spans="1:16" ht="24" customHeight="1" thickTop="1" thickBot="1" x14ac:dyDescent="0.45">
      <c r="A641" s="40" t="s">
        <v>3401</v>
      </c>
      <c r="B641" s="3" t="s">
        <v>3402</v>
      </c>
      <c r="C641" s="3">
        <v>645</v>
      </c>
      <c r="D641" s="23">
        <v>34901</v>
      </c>
      <c r="E641" s="3" t="s">
        <v>1</v>
      </c>
      <c r="F641" s="3" t="s">
        <v>6</v>
      </c>
      <c r="G641" s="3">
        <v>7</v>
      </c>
      <c r="H641" s="3" t="s">
        <v>18</v>
      </c>
      <c r="K641" s="23" t="s">
        <v>9</v>
      </c>
      <c r="L641" s="23">
        <v>45197</v>
      </c>
      <c r="M641" s="23">
        <v>45232</v>
      </c>
      <c r="N641" s="23">
        <v>45197</v>
      </c>
    </row>
    <row r="642" spans="1:16" ht="24" customHeight="1" thickTop="1" thickBot="1" x14ac:dyDescent="0.45">
      <c r="A642" s="40" t="s">
        <v>3403</v>
      </c>
      <c r="B642" s="3" t="s">
        <v>3404</v>
      </c>
      <c r="C642" s="3">
        <v>313</v>
      </c>
      <c r="D642" s="23" t="s">
        <v>3749</v>
      </c>
      <c r="E642" s="3" t="s">
        <v>1</v>
      </c>
      <c r="F642" s="3" t="s">
        <v>6</v>
      </c>
      <c r="G642" s="3">
        <v>7</v>
      </c>
      <c r="H642" s="3" t="s">
        <v>18</v>
      </c>
      <c r="M642" s="23">
        <v>44018</v>
      </c>
      <c r="N642" s="23">
        <v>44435</v>
      </c>
      <c r="P642" s="23">
        <v>44435</v>
      </c>
    </row>
    <row r="643" spans="1:16" ht="24" customHeight="1" thickTop="1" thickBot="1" x14ac:dyDescent="0.45">
      <c r="A643" s="40" t="s">
        <v>3405</v>
      </c>
      <c r="B643" s="3" t="s">
        <v>3406</v>
      </c>
      <c r="C643" s="3">
        <v>462</v>
      </c>
      <c r="D643" s="23" t="s">
        <v>3749</v>
      </c>
      <c r="E643" s="3" t="s">
        <v>1</v>
      </c>
      <c r="F643" s="3" t="s">
        <v>6</v>
      </c>
      <c r="G643" s="3">
        <v>7</v>
      </c>
      <c r="H643" s="3" t="s">
        <v>18</v>
      </c>
      <c r="M643" s="23">
        <v>44552</v>
      </c>
      <c r="N643" s="23">
        <v>44557</v>
      </c>
    </row>
    <row r="644" spans="1:16" ht="24" customHeight="1" thickTop="1" thickBot="1" x14ac:dyDescent="0.45">
      <c r="A644" s="40" t="s">
        <v>3407</v>
      </c>
      <c r="B644" s="3" t="s">
        <v>3408</v>
      </c>
      <c r="C644" s="3">
        <v>603</v>
      </c>
      <c r="D644" s="23" t="s">
        <v>3749</v>
      </c>
      <c r="E644" s="3" t="s">
        <v>1</v>
      </c>
      <c r="F644" s="3" t="s">
        <v>6</v>
      </c>
      <c r="G644" s="3">
        <v>7</v>
      </c>
      <c r="H644" s="3" t="s">
        <v>18</v>
      </c>
      <c r="K644" s="23" t="s">
        <v>1202</v>
      </c>
      <c r="M644" s="23">
        <v>45093</v>
      </c>
      <c r="N644" s="23">
        <v>45103</v>
      </c>
      <c r="O644" s="23">
        <v>45103</v>
      </c>
    </row>
    <row r="645" spans="1:16" ht="24" customHeight="1" thickTop="1" thickBot="1" x14ac:dyDescent="0.45">
      <c r="A645" s="40" t="s">
        <v>3409</v>
      </c>
      <c r="B645" s="3" t="s">
        <v>3410</v>
      </c>
      <c r="C645" s="3">
        <v>6022</v>
      </c>
      <c r="D645" s="23" t="s">
        <v>3749</v>
      </c>
      <c r="E645" s="3" t="s">
        <v>1</v>
      </c>
      <c r="F645" s="3" t="s">
        <v>6</v>
      </c>
      <c r="G645" s="3">
        <v>7</v>
      </c>
      <c r="H645" s="3" t="s">
        <v>18</v>
      </c>
      <c r="K645" s="23" t="s">
        <v>109</v>
      </c>
      <c r="M645" s="23">
        <v>44949</v>
      </c>
      <c r="N645" s="23">
        <v>44728</v>
      </c>
      <c r="O645" s="23">
        <v>44728</v>
      </c>
    </row>
    <row r="646" spans="1:16" ht="24" customHeight="1" thickTop="1" thickBot="1" x14ac:dyDescent="0.45">
      <c r="A646" s="40" t="s">
        <v>3411</v>
      </c>
      <c r="B646" s="3" t="s">
        <v>3412</v>
      </c>
      <c r="C646" s="3">
        <v>508</v>
      </c>
      <c r="D646" s="23" t="s">
        <v>3749</v>
      </c>
      <c r="E646" s="3" t="s">
        <v>1</v>
      </c>
      <c r="F646" s="3" t="s">
        <v>6</v>
      </c>
      <c r="G646" s="3">
        <v>7</v>
      </c>
      <c r="H646" s="3" t="s">
        <v>18</v>
      </c>
      <c r="K646" s="23" t="s">
        <v>1191</v>
      </c>
      <c r="M646" s="23">
        <v>44649</v>
      </c>
      <c r="N646" s="23">
        <v>44656</v>
      </c>
    </row>
    <row r="647" spans="1:16" ht="24" customHeight="1" thickTop="1" thickBot="1" x14ac:dyDescent="0.45">
      <c r="A647" s="40" t="s">
        <v>3413</v>
      </c>
      <c r="B647" s="3" t="s">
        <v>3414</v>
      </c>
      <c r="C647" s="3">
        <v>370</v>
      </c>
      <c r="D647" s="23">
        <v>33997</v>
      </c>
      <c r="E647" s="3" t="s">
        <v>1</v>
      </c>
      <c r="F647" s="3" t="s">
        <v>6</v>
      </c>
      <c r="G647" s="3">
        <v>7</v>
      </c>
      <c r="H647" s="3" t="s">
        <v>18</v>
      </c>
      <c r="K647" s="23" t="s">
        <v>101</v>
      </c>
      <c r="M647" s="23">
        <v>44341</v>
      </c>
    </row>
    <row r="648" spans="1:16" ht="24" customHeight="1" thickTop="1" thickBot="1" x14ac:dyDescent="0.45">
      <c r="A648" s="40" t="s">
        <v>3415</v>
      </c>
      <c r="B648" s="3" t="s">
        <v>3416</v>
      </c>
      <c r="C648" s="3">
        <v>397</v>
      </c>
      <c r="D648" s="23" t="s">
        <v>3749</v>
      </c>
      <c r="E648" s="3" t="s">
        <v>1</v>
      </c>
      <c r="F648" s="3" t="s">
        <v>6</v>
      </c>
      <c r="G648" s="3">
        <v>7</v>
      </c>
      <c r="H648" s="3" t="s">
        <v>18</v>
      </c>
      <c r="K648" s="23" t="s">
        <v>102</v>
      </c>
      <c r="M648" s="23">
        <v>44381</v>
      </c>
    </row>
    <row r="649" spans="1:16" ht="24" customHeight="1" thickTop="1" thickBot="1" x14ac:dyDescent="0.45">
      <c r="A649" s="40" t="s">
        <v>3417</v>
      </c>
      <c r="B649" s="3" t="s">
        <v>3418</v>
      </c>
      <c r="C649" s="3">
        <v>622</v>
      </c>
      <c r="D649" s="23">
        <v>33507</v>
      </c>
      <c r="E649" s="3" t="s">
        <v>1</v>
      </c>
      <c r="F649" s="3" t="s">
        <v>6</v>
      </c>
      <c r="G649" s="3">
        <v>7</v>
      </c>
      <c r="H649" s="3" t="s">
        <v>18</v>
      </c>
      <c r="K649" s="23" t="s">
        <v>3419</v>
      </c>
      <c r="M649" s="23">
        <v>45194</v>
      </c>
      <c r="N649" s="23">
        <v>45197</v>
      </c>
    </row>
    <row r="650" spans="1:16" ht="24" customHeight="1" thickTop="1" thickBot="1" x14ac:dyDescent="0.45">
      <c r="A650" s="40" t="s">
        <v>3420</v>
      </c>
      <c r="B650" s="3" t="s">
        <v>3421</v>
      </c>
      <c r="C650" s="3">
        <v>356</v>
      </c>
      <c r="D650" s="23" t="s">
        <v>3749</v>
      </c>
      <c r="E650" s="3" t="s">
        <v>1</v>
      </c>
      <c r="F650" s="3" t="s">
        <v>6</v>
      </c>
      <c r="G650" s="3">
        <v>7</v>
      </c>
      <c r="H650" s="3" t="s">
        <v>18</v>
      </c>
      <c r="M650" s="23">
        <v>44328</v>
      </c>
    </row>
    <row r="651" spans="1:16" ht="24" customHeight="1" thickTop="1" thickBot="1" x14ac:dyDescent="0.45">
      <c r="A651" s="40" t="s">
        <v>3422</v>
      </c>
      <c r="B651" s="3" t="s">
        <v>3423</v>
      </c>
      <c r="C651" s="3">
        <v>320</v>
      </c>
      <c r="D651" s="23" t="s">
        <v>3749</v>
      </c>
      <c r="E651" s="3" t="s">
        <v>1</v>
      </c>
      <c r="F651" s="3" t="s">
        <v>6</v>
      </c>
      <c r="G651" s="3">
        <v>7</v>
      </c>
      <c r="H651" s="3" t="s">
        <v>18</v>
      </c>
      <c r="K651" s="23" t="s">
        <v>106</v>
      </c>
      <c r="M651" s="23">
        <v>44268</v>
      </c>
    </row>
    <row r="652" spans="1:16" ht="24" customHeight="1" thickTop="1" thickBot="1" x14ac:dyDescent="0.45">
      <c r="A652" s="40" t="s">
        <v>3424</v>
      </c>
      <c r="B652" s="3" t="s">
        <v>3425</v>
      </c>
      <c r="C652" s="3">
        <v>310</v>
      </c>
      <c r="D652" s="23" t="s">
        <v>3749</v>
      </c>
      <c r="E652" s="3" t="s">
        <v>1</v>
      </c>
      <c r="F652" s="3" t="s">
        <v>6</v>
      </c>
      <c r="G652" s="3">
        <v>7</v>
      </c>
      <c r="H652" s="3" t="s">
        <v>18</v>
      </c>
      <c r="M652" s="23">
        <v>44004</v>
      </c>
      <c r="N652" s="23">
        <v>44769</v>
      </c>
      <c r="P652" s="23">
        <v>44769</v>
      </c>
    </row>
    <row r="653" spans="1:16" ht="24" customHeight="1" thickTop="1" thickBot="1" x14ac:dyDescent="0.45">
      <c r="A653" s="40" t="s">
        <v>3426</v>
      </c>
      <c r="B653" s="3" t="s">
        <v>3427</v>
      </c>
      <c r="C653" s="3">
        <v>494</v>
      </c>
      <c r="D653" s="23">
        <v>35568</v>
      </c>
      <c r="E653" s="3" t="s">
        <v>1</v>
      </c>
      <c r="F653" s="3" t="s">
        <v>6</v>
      </c>
      <c r="G653" s="3">
        <v>7</v>
      </c>
      <c r="H653" s="3" t="s">
        <v>18</v>
      </c>
      <c r="K653" s="23" t="s">
        <v>1186</v>
      </c>
      <c r="M653" s="23">
        <v>44621</v>
      </c>
      <c r="N653" s="23">
        <v>44627</v>
      </c>
      <c r="O653" s="23">
        <v>44627</v>
      </c>
    </row>
    <row r="654" spans="1:16" ht="24" customHeight="1" thickTop="1" thickBot="1" x14ac:dyDescent="0.45">
      <c r="A654" s="40" t="s">
        <v>3428</v>
      </c>
      <c r="B654" s="3" t="s">
        <v>3429</v>
      </c>
      <c r="C654" s="3">
        <v>752</v>
      </c>
      <c r="D654" s="23">
        <v>37882</v>
      </c>
      <c r="E654" s="3" t="s">
        <v>1</v>
      </c>
      <c r="F654" s="3" t="s">
        <v>1238</v>
      </c>
      <c r="G654" s="3">
        <v>7</v>
      </c>
      <c r="H654" s="3" t="s">
        <v>18</v>
      </c>
      <c r="K654" s="23" t="s">
        <v>9</v>
      </c>
      <c r="L654" s="23">
        <v>45789</v>
      </c>
      <c r="M654" s="23">
        <v>45813</v>
      </c>
      <c r="N654" s="23">
        <v>45802</v>
      </c>
      <c r="O654" s="23">
        <v>45866</v>
      </c>
      <c r="P654" s="23">
        <v>46076</v>
      </c>
    </row>
    <row r="655" spans="1:16" ht="24" customHeight="1" thickTop="1" thickBot="1" x14ac:dyDescent="0.45">
      <c r="A655" s="40" t="s">
        <v>3430</v>
      </c>
      <c r="B655" s="3" t="s">
        <v>3431</v>
      </c>
      <c r="C655" s="3">
        <v>722</v>
      </c>
      <c r="D655" s="23">
        <v>35539</v>
      </c>
      <c r="E655" s="3" t="s">
        <v>1</v>
      </c>
      <c r="F655" s="3" t="s">
        <v>1238</v>
      </c>
      <c r="G655" s="3">
        <v>7</v>
      </c>
      <c r="H655" s="3" t="s">
        <v>18</v>
      </c>
      <c r="K655" s="23" t="s">
        <v>1222</v>
      </c>
      <c r="L655" s="23">
        <v>45524</v>
      </c>
      <c r="M655" s="23">
        <v>45568</v>
      </c>
      <c r="N655" s="23">
        <v>45540</v>
      </c>
      <c r="O655" s="23">
        <v>45599</v>
      </c>
      <c r="P655" s="23">
        <v>45832</v>
      </c>
    </row>
    <row r="656" spans="1:16" ht="24" customHeight="1" thickTop="1" thickBot="1" x14ac:dyDescent="0.45">
      <c r="A656" s="40" t="s">
        <v>3432</v>
      </c>
      <c r="B656" s="3" t="s">
        <v>3433</v>
      </c>
      <c r="C656" s="3">
        <v>718</v>
      </c>
      <c r="D656" s="23">
        <v>36443</v>
      </c>
      <c r="E656" s="3" t="s">
        <v>1</v>
      </c>
      <c r="F656" s="3" t="s">
        <v>1238</v>
      </c>
      <c r="G656" s="3">
        <v>7</v>
      </c>
      <c r="H656" s="3" t="s">
        <v>18</v>
      </c>
      <c r="K656" s="23" t="s">
        <v>3434</v>
      </c>
      <c r="L656" s="23">
        <v>45499</v>
      </c>
      <c r="M656" s="23">
        <v>45555</v>
      </c>
      <c r="N656" s="23">
        <v>45523</v>
      </c>
      <c r="O656" s="23">
        <v>45599</v>
      </c>
      <c r="P656" s="23">
        <v>45739</v>
      </c>
    </row>
    <row r="657" spans="1:16" ht="24" customHeight="1" thickTop="1" thickBot="1" x14ac:dyDescent="0.45">
      <c r="A657" s="40" t="s">
        <v>3435</v>
      </c>
      <c r="B657" s="3" t="s">
        <v>3436</v>
      </c>
      <c r="C657" s="3">
        <v>565</v>
      </c>
      <c r="D657" s="23">
        <v>35908</v>
      </c>
      <c r="E657" s="3" t="s">
        <v>1</v>
      </c>
      <c r="F657" s="3" t="s">
        <v>1238</v>
      </c>
      <c r="G657" s="3">
        <v>7</v>
      </c>
      <c r="H657" s="3" t="s">
        <v>18</v>
      </c>
      <c r="K657" s="43"/>
      <c r="L657" s="61">
        <v>44942</v>
      </c>
      <c r="M657" s="23">
        <v>44946</v>
      </c>
      <c r="N657" s="23">
        <v>44942</v>
      </c>
    </row>
    <row r="658" spans="1:16" ht="24" customHeight="1" thickTop="1" thickBot="1" x14ac:dyDescent="0.45">
      <c r="A658" s="40" t="s">
        <v>3437</v>
      </c>
      <c r="B658" s="3" t="s">
        <v>3438</v>
      </c>
      <c r="C658" s="3">
        <v>225</v>
      </c>
      <c r="D658" s="23">
        <v>31594</v>
      </c>
      <c r="E658" s="3" t="s">
        <v>1</v>
      </c>
      <c r="F658" s="3" t="s">
        <v>1238</v>
      </c>
      <c r="G658" s="3">
        <v>7</v>
      </c>
      <c r="H658" s="3" t="s">
        <v>18</v>
      </c>
      <c r="K658" s="23" t="s">
        <v>1124</v>
      </c>
      <c r="M658" s="23">
        <v>43339</v>
      </c>
      <c r="P658" s="23">
        <v>44464</v>
      </c>
    </row>
    <row r="659" spans="1:16" ht="24" customHeight="1" thickTop="1" thickBot="1" x14ac:dyDescent="0.45">
      <c r="A659" s="40" t="s">
        <v>3439</v>
      </c>
      <c r="B659" s="3" t="s">
        <v>3440</v>
      </c>
      <c r="C659" s="3">
        <v>681</v>
      </c>
      <c r="D659" s="23">
        <v>35476</v>
      </c>
      <c r="E659" s="3" t="s">
        <v>1</v>
      </c>
      <c r="F659" s="3" t="s">
        <v>1238</v>
      </c>
      <c r="G659" s="3">
        <v>7</v>
      </c>
      <c r="H659" s="3" t="s">
        <v>18</v>
      </c>
      <c r="K659" s="23" t="s">
        <v>9</v>
      </c>
      <c r="M659" s="23">
        <v>45415</v>
      </c>
      <c r="N659" s="23">
        <v>45427</v>
      </c>
    </row>
    <row r="660" spans="1:16" ht="24" customHeight="1" thickTop="1" thickBot="1" x14ac:dyDescent="0.45">
      <c r="A660" s="40" t="s">
        <v>3441</v>
      </c>
      <c r="B660" s="3" t="s">
        <v>3442</v>
      </c>
      <c r="C660" s="3">
        <v>654</v>
      </c>
      <c r="D660" s="23">
        <v>35224</v>
      </c>
      <c r="E660" s="3" t="s">
        <v>1</v>
      </c>
      <c r="F660" s="3" t="s">
        <v>1238</v>
      </c>
      <c r="G660" s="3">
        <v>7</v>
      </c>
      <c r="H660" s="3" t="s">
        <v>18</v>
      </c>
      <c r="K660" s="23" t="s">
        <v>1211</v>
      </c>
      <c r="L660" s="23">
        <v>45289</v>
      </c>
      <c r="M660" s="23">
        <v>45296</v>
      </c>
      <c r="N660" s="23">
        <v>45289</v>
      </c>
    </row>
    <row r="661" spans="1:16" ht="24" customHeight="1" thickTop="1" thickBot="1" x14ac:dyDescent="0.45">
      <c r="A661" s="40" t="s">
        <v>3443</v>
      </c>
      <c r="B661" s="3" t="s">
        <v>3444</v>
      </c>
      <c r="C661" s="3">
        <v>535</v>
      </c>
      <c r="D661" s="23">
        <v>34464</v>
      </c>
      <c r="E661" s="3" t="s">
        <v>1</v>
      </c>
      <c r="F661" s="3" t="s">
        <v>1238</v>
      </c>
      <c r="G661" s="3">
        <v>7</v>
      </c>
      <c r="H661" s="3" t="s">
        <v>18</v>
      </c>
      <c r="K661" s="23" t="s">
        <v>1185</v>
      </c>
      <c r="L661" s="23">
        <v>44599</v>
      </c>
      <c r="M661" s="23">
        <v>44757</v>
      </c>
      <c r="N661" s="23">
        <v>44599</v>
      </c>
      <c r="O661" s="23">
        <v>44619</v>
      </c>
      <c r="P661" s="23">
        <v>45308</v>
      </c>
    </row>
    <row r="662" spans="1:16" ht="24" customHeight="1" thickTop="1" thickBot="1" x14ac:dyDescent="0.45">
      <c r="A662" s="40" t="s">
        <v>3445</v>
      </c>
      <c r="B662" s="3" t="s">
        <v>3446</v>
      </c>
      <c r="C662" s="3">
        <v>746</v>
      </c>
      <c r="D662" s="23">
        <v>35782</v>
      </c>
      <c r="E662" s="3" t="s">
        <v>1</v>
      </c>
      <c r="F662" s="3" t="s">
        <v>1238</v>
      </c>
      <c r="G662" s="3">
        <v>7</v>
      </c>
      <c r="H662" s="3" t="s">
        <v>18</v>
      </c>
      <c r="K662" s="23" t="s">
        <v>19</v>
      </c>
      <c r="L662" s="23">
        <v>45732</v>
      </c>
      <c r="M662" s="23">
        <v>45755</v>
      </c>
      <c r="N662" s="23">
        <v>45739</v>
      </c>
      <c r="O662" s="23">
        <v>45832</v>
      </c>
      <c r="P662" s="23">
        <v>46103</v>
      </c>
    </row>
    <row r="663" spans="1:16" ht="24" customHeight="1" thickTop="1" thickBot="1" x14ac:dyDescent="0.45">
      <c r="A663" s="40" t="s">
        <v>3447</v>
      </c>
      <c r="B663" s="3" t="s">
        <v>3448</v>
      </c>
      <c r="C663" s="3">
        <v>424</v>
      </c>
      <c r="D663" s="23">
        <v>32911</v>
      </c>
      <c r="E663" s="3" t="s">
        <v>1</v>
      </c>
      <c r="F663" s="3" t="s">
        <v>1238</v>
      </c>
      <c r="G663" s="3">
        <v>7</v>
      </c>
      <c r="H663" s="3" t="s">
        <v>18</v>
      </c>
      <c r="K663" s="23" t="s">
        <v>3449</v>
      </c>
      <c r="M663" s="23">
        <v>44473</v>
      </c>
      <c r="N663" s="23">
        <v>44474</v>
      </c>
      <c r="O663" s="23">
        <v>44527</v>
      </c>
      <c r="P663" s="23">
        <v>44630</v>
      </c>
    </row>
    <row r="664" spans="1:16" ht="24" customHeight="1" thickTop="1" thickBot="1" x14ac:dyDescent="0.45">
      <c r="A664" s="40" t="s">
        <v>3450</v>
      </c>
      <c r="B664" s="3" t="s">
        <v>3451</v>
      </c>
      <c r="C664" s="3">
        <v>790</v>
      </c>
      <c r="D664" s="23">
        <v>34309</v>
      </c>
      <c r="E664" s="3" t="s">
        <v>1</v>
      </c>
      <c r="F664" s="3" t="s">
        <v>1238</v>
      </c>
      <c r="G664" s="3">
        <v>7</v>
      </c>
      <c r="H664" s="3" t="s">
        <v>18</v>
      </c>
      <c r="K664" s="23" t="s">
        <v>1223</v>
      </c>
      <c r="L664" s="23">
        <v>45878</v>
      </c>
      <c r="M664" s="23">
        <v>45909</v>
      </c>
      <c r="N664" s="23">
        <v>45897</v>
      </c>
      <c r="O664" s="23">
        <v>45985</v>
      </c>
      <c r="P664" s="23">
        <v>46124</v>
      </c>
    </row>
    <row r="665" spans="1:16" ht="24" customHeight="1" thickTop="1" thickBot="1" x14ac:dyDescent="0.45">
      <c r="A665" s="40" t="s">
        <v>3452</v>
      </c>
      <c r="B665" s="3" t="s">
        <v>3453</v>
      </c>
      <c r="C665" s="3">
        <v>5995</v>
      </c>
      <c r="D665" s="23">
        <v>36358</v>
      </c>
      <c r="E665" s="3" t="s">
        <v>1</v>
      </c>
      <c r="F665" s="3" t="s">
        <v>1238</v>
      </c>
      <c r="G665" s="3">
        <v>7</v>
      </c>
      <c r="H665" s="3" t="s">
        <v>18</v>
      </c>
      <c r="K665" s="23" t="s">
        <v>1155</v>
      </c>
      <c r="M665" s="23">
        <v>44735</v>
      </c>
    </row>
    <row r="666" spans="1:16" ht="24" customHeight="1" thickTop="1" thickBot="1" x14ac:dyDescent="0.45">
      <c r="A666" s="40" t="s">
        <v>3454</v>
      </c>
      <c r="B666" s="3" t="s">
        <v>3455</v>
      </c>
      <c r="C666" s="3">
        <v>548</v>
      </c>
      <c r="D666" s="23">
        <v>34498</v>
      </c>
      <c r="E666" s="3" t="s">
        <v>1</v>
      </c>
      <c r="F666" s="3" t="s">
        <v>1238</v>
      </c>
      <c r="G666" s="3">
        <v>7</v>
      </c>
      <c r="H666" s="3" t="s">
        <v>18</v>
      </c>
      <c r="M666" s="23">
        <v>44786</v>
      </c>
      <c r="N666" s="23">
        <v>44849</v>
      </c>
      <c r="P666" s="23">
        <v>44849</v>
      </c>
    </row>
    <row r="667" spans="1:16" ht="24" customHeight="1" thickTop="1" thickBot="1" x14ac:dyDescent="0.45">
      <c r="A667" s="40" t="s">
        <v>3456</v>
      </c>
      <c r="B667" s="3" t="s">
        <v>3457</v>
      </c>
      <c r="C667" s="3">
        <v>490</v>
      </c>
      <c r="D667" s="23" t="s">
        <v>3749</v>
      </c>
      <c r="E667" s="3" t="s">
        <v>1</v>
      </c>
      <c r="F667" s="3" t="s">
        <v>1238</v>
      </c>
      <c r="G667" s="3">
        <v>7</v>
      </c>
      <c r="H667" s="3" t="s">
        <v>18</v>
      </c>
      <c r="K667" s="23" t="s">
        <v>1116</v>
      </c>
      <c r="L667" s="23">
        <v>44612</v>
      </c>
      <c r="M667" s="23">
        <v>44616</v>
      </c>
      <c r="N667" s="23">
        <v>44612</v>
      </c>
    </row>
    <row r="668" spans="1:16" ht="24" customHeight="1" thickTop="1" thickBot="1" x14ac:dyDescent="0.45">
      <c r="A668" s="40" t="s">
        <v>3458</v>
      </c>
      <c r="B668" s="3" t="s">
        <v>3459</v>
      </c>
      <c r="C668" s="3">
        <v>381</v>
      </c>
      <c r="D668" s="23" t="s">
        <v>3749</v>
      </c>
      <c r="E668" s="3" t="s">
        <v>1</v>
      </c>
      <c r="F668" s="3" t="s">
        <v>1238</v>
      </c>
      <c r="G668" s="3">
        <v>7</v>
      </c>
      <c r="H668" s="3" t="s">
        <v>18</v>
      </c>
      <c r="M668" s="23">
        <v>44366</v>
      </c>
    </row>
    <row r="669" spans="1:16" ht="24" customHeight="1" thickTop="1" thickBot="1" x14ac:dyDescent="0.45">
      <c r="A669" s="40" t="s">
        <v>3460</v>
      </c>
      <c r="B669" s="3" t="s">
        <v>3461</v>
      </c>
      <c r="C669" s="3">
        <v>408</v>
      </c>
      <c r="D669" s="23" t="s">
        <v>3749</v>
      </c>
      <c r="E669" s="3" t="s">
        <v>1</v>
      </c>
      <c r="F669" s="3" t="s">
        <v>1238</v>
      </c>
      <c r="G669" s="3">
        <v>7</v>
      </c>
      <c r="H669" s="3" t="s">
        <v>18</v>
      </c>
      <c r="M669" s="23">
        <v>44412</v>
      </c>
      <c r="N669" s="23">
        <v>44426</v>
      </c>
    </row>
    <row r="670" spans="1:16" ht="24" customHeight="1" thickTop="1" thickBot="1" x14ac:dyDescent="0.45">
      <c r="A670" s="40" t="s">
        <v>3462</v>
      </c>
      <c r="B670" s="3" t="s">
        <v>3463</v>
      </c>
      <c r="C670" s="3">
        <v>204</v>
      </c>
      <c r="D670" s="23" t="s">
        <v>3749</v>
      </c>
      <c r="E670" s="3" t="s">
        <v>1</v>
      </c>
      <c r="F670" s="3" t="s">
        <v>1238</v>
      </c>
      <c r="G670" s="3">
        <v>7</v>
      </c>
      <c r="H670" s="3" t="s">
        <v>18</v>
      </c>
      <c r="M670" s="23">
        <v>43303</v>
      </c>
    </row>
    <row r="671" spans="1:16" ht="24" customHeight="1" thickTop="1" thickBot="1" x14ac:dyDescent="0.45">
      <c r="A671" s="40" t="s">
        <v>3464</v>
      </c>
      <c r="B671" s="3" t="s">
        <v>3465</v>
      </c>
      <c r="C671" s="3">
        <v>468</v>
      </c>
      <c r="D671" s="23" t="s">
        <v>3749</v>
      </c>
      <c r="E671" s="3" t="s">
        <v>1</v>
      </c>
      <c r="F671" s="3" t="s">
        <v>1238</v>
      </c>
      <c r="G671" s="3">
        <v>7</v>
      </c>
      <c r="H671" s="3" t="s">
        <v>18</v>
      </c>
      <c r="K671" s="23" t="s">
        <v>86</v>
      </c>
      <c r="M671" s="23">
        <v>44577</v>
      </c>
      <c r="N671" s="23">
        <v>44581</v>
      </c>
    </row>
    <row r="672" spans="1:16" ht="24" customHeight="1" thickTop="1" thickBot="1" x14ac:dyDescent="0.45">
      <c r="A672" s="40" t="s">
        <v>3466</v>
      </c>
      <c r="B672" s="3" t="s">
        <v>3467</v>
      </c>
      <c r="C672" s="3">
        <v>506</v>
      </c>
      <c r="D672" s="23" t="s">
        <v>3749</v>
      </c>
      <c r="E672" s="3" t="s">
        <v>1</v>
      </c>
      <c r="F672" s="3" t="s">
        <v>1238</v>
      </c>
      <c r="G672" s="3">
        <v>7</v>
      </c>
      <c r="H672" s="3" t="s">
        <v>18</v>
      </c>
      <c r="M672" s="23">
        <v>44644</v>
      </c>
      <c r="N672" s="23">
        <v>44656</v>
      </c>
    </row>
    <row r="673" spans="1:15" ht="24" customHeight="1" thickTop="1" thickBot="1" x14ac:dyDescent="0.45">
      <c r="A673" s="40" t="s">
        <v>3468</v>
      </c>
      <c r="B673" s="3" t="s">
        <v>3469</v>
      </c>
      <c r="C673" s="3">
        <v>435</v>
      </c>
      <c r="D673" s="23" t="s">
        <v>3749</v>
      </c>
      <c r="E673" s="3" t="s">
        <v>1</v>
      </c>
      <c r="F673" s="3" t="s">
        <v>1238</v>
      </c>
      <c r="G673" s="3">
        <v>7</v>
      </c>
      <c r="H673" s="3" t="s">
        <v>18</v>
      </c>
      <c r="M673" s="23">
        <v>44517</v>
      </c>
      <c r="N673" s="23">
        <v>44574</v>
      </c>
    </row>
    <row r="674" spans="1:15" ht="24" customHeight="1" thickTop="1" thickBot="1" x14ac:dyDescent="0.45">
      <c r="A674" s="40" t="s">
        <v>3470</v>
      </c>
      <c r="B674" s="3" t="s">
        <v>3471</v>
      </c>
      <c r="C674" s="3">
        <v>509</v>
      </c>
      <c r="D674" s="23" t="s">
        <v>3749</v>
      </c>
      <c r="E674" s="3" t="s">
        <v>1</v>
      </c>
      <c r="F674" s="3" t="s">
        <v>1238</v>
      </c>
      <c r="G674" s="3">
        <v>7</v>
      </c>
      <c r="H674" s="3" t="s">
        <v>18</v>
      </c>
      <c r="K674" s="23" t="s">
        <v>1386</v>
      </c>
      <c r="M674" s="23">
        <v>44654</v>
      </c>
      <c r="N674" s="23">
        <v>44656</v>
      </c>
    </row>
    <row r="675" spans="1:15" ht="24" customHeight="1" thickTop="1" thickBot="1" x14ac:dyDescent="0.45">
      <c r="A675" s="40" t="s">
        <v>3472</v>
      </c>
      <c r="B675" s="3" t="s">
        <v>3473</v>
      </c>
      <c r="C675" s="3">
        <v>620</v>
      </c>
      <c r="D675" s="23" t="s">
        <v>3749</v>
      </c>
      <c r="E675" s="3" t="s">
        <v>1</v>
      </c>
      <c r="F675" s="3" t="s">
        <v>1238</v>
      </c>
      <c r="G675" s="3">
        <v>7</v>
      </c>
      <c r="H675" s="3" t="s">
        <v>18</v>
      </c>
      <c r="M675" s="23">
        <v>45190</v>
      </c>
      <c r="N675" s="23">
        <v>45197</v>
      </c>
    </row>
    <row r="676" spans="1:15" ht="24" customHeight="1" thickTop="1" thickBot="1" x14ac:dyDescent="0.45">
      <c r="A676" s="40" t="s">
        <v>3474</v>
      </c>
      <c r="B676" s="3" t="s">
        <v>3475</v>
      </c>
      <c r="C676" s="3">
        <v>567</v>
      </c>
      <c r="D676" s="23" t="s">
        <v>3749</v>
      </c>
      <c r="E676" s="3" t="s">
        <v>1</v>
      </c>
      <c r="F676" s="3" t="s">
        <v>1238</v>
      </c>
      <c r="G676" s="3">
        <v>7</v>
      </c>
      <c r="H676" s="3" t="s">
        <v>18</v>
      </c>
      <c r="L676" s="23">
        <v>44569</v>
      </c>
      <c r="M676" s="23">
        <v>44949</v>
      </c>
      <c r="N676" s="23">
        <v>44569</v>
      </c>
    </row>
    <row r="677" spans="1:15" ht="24" customHeight="1" thickTop="1" thickBot="1" x14ac:dyDescent="0.45">
      <c r="A677" s="40" t="s">
        <v>3476</v>
      </c>
      <c r="B677" s="3" t="s">
        <v>3477</v>
      </c>
      <c r="C677" s="3">
        <v>585</v>
      </c>
      <c r="D677" s="23" t="s">
        <v>3749</v>
      </c>
      <c r="E677" s="3" t="s">
        <v>1</v>
      </c>
      <c r="F677" s="3" t="s">
        <v>1238</v>
      </c>
      <c r="G677" s="3">
        <v>7</v>
      </c>
      <c r="H677" s="3" t="s">
        <v>18</v>
      </c>
      <c r="L677" s="23">
        <v>44958</v>
      </c>
      <c r="M677" s="23">
        <v>44964</v>
      </c>
      <c r="N677" s="23">
        <v>44958</v>
      </c>
    </row>
    <row r="678" spans="1:15" ht="24" customHeight="1" thickTop="1" thickBot="1" x14ac:dyDescent="0.45">
      <c r="A678" s="40" t="s">
        <v>3478</v>
      </c>
      <c r="B678" s="3" t="s">
        <v>3479</v>
      </c>
      <c r="C678" s="3">
        <v>413</v>
      </c>
      <c r="D678" s="23" t="s">
        <v>3749</v>
      </c>
      <c r="E678" s="3" t="s">
        <v>1</v>
      </c>
      <c r="F678" s="3" t="s">
        <v>1238</v>
      </c>
      <c r="G678" s="3">
        <v>7</v>
      </c>
      <c r="H678" s="3" t="s">
        <v>18</v>
      </c>
      <c r="K678" s="23" t="s">
        <v>1117</v>
      </c>
      <c r="L678" s="23">
        <v>44416</v>
      </c>
      <c r="M678" s="23">
        <v>44430</v>
      </c>
      <c r="N678" s="23">
        <v>44416</v>
      </c>
    </row>
    <row r="679" spans="1:15" ht="24" customHeight="1" thickTop="1" thickBot="1" x14ac:dyDescent="0.45">
      <c r="A679" s="40" t="s">
        <v>3480</v>
      </c>
      <c r="B679" s="3" t="s">
        <v>3481</v>
      </c>
      <c r="C679" s="3">
        <v>497</v>
      </c>
      <c r="D679" s="23" t="s">
        <v>3749</v>
      </c>
      <c r="E679" s="3" t="s">
        <v>1</v>
      </c>
      <c r="F679" s="3" t="s">
        <v>1238</v>
      </c>
      <c r="G679" s="3">
        <v>7</v>
      </c>
      <c r="H679" s="3" t="s">
        <v>18</v>
      </c>
      <c r="K679" s="23" t="s">
        <v>1190</v>
      </c>
      <c r="M679" s="23">
        <v>44633</v>
      </c>
      <c r="N679" s="23">
        <v>44634</v>
      </c>
    </row>
    <row r="680" spans="1:15" ht="24" customHeight="1" thickTop="1" thickBot="1" x14ac:dyDescent="0.45">
      <c r="A680" s="40" t="s">
        <v>3482</v>
      </c>
      <c r="B680" s="3" t="s">
        <v>3483</v>
      </c>
      <c r="C680" s="3">
        <v>488</v>
      </c>
      <c r="D680" s="23" t="s">
        <v>3749</v>
      </c>
      <c r="E680" s="3" t="s">
        <v>1</v>
      </c>
      <c r="F680" s="3" t="s">
        <v>1238</v>
      </c>
      <c r="G680" s="3">
        <v>7</v>
      </c>
      <c r="H680" s="3" t="s">
        <v>18</v>
      </c>
      <c r="M680" s="23">
        <v>44616</v>
      </c>
      <c r="N680" s="23">
        <v>44619</v>
      </c>
    </row>
    <row r="681" spans="1:15" ht="24" customHeight="1" thickTop="1" thickBot="1" x14ac:dyDescent="0.45">
      <c r="A681" s="40" t="s">
        <v>3484</v>
      </c>
      <c r="B681" s="3" t="s">
        <v>3485</v>
      </c>
      <c r="C681" s="3">
        <v>545</v>
      </c>
      <c r="D681" s="23">
        <v>35718</v>
      </c>
      <c r="E681" s="3" t="s">
        <v>1</v>
      </c>
      <c r="F681" s="3" t="s">
        <v>1238</v>
      </c>
      <c r="G681" s="3">
        <v>7</v>
      </c>
      <c r="H681" s="3" t="s">
        <v>18</v>
      </c>
      <c r="K681" s="23" t="s">
        <v>1177</v>
      </c>
      <c r="L681" s="23">
        <v>44551</v>
      </c>
      <c r="M681" s="23">
        <v>44767</v>
      </c>
      <c r="N681" s="23">
        <v>44551</v>
      </c>
    </row>
    <row r="682" spans="1:15" ht="24" customHeight="1" thickTop="1" thickBot="1" x14ac:dyDescent="0.45">
      <c r="A682" s="40" t="s">
        <v>3486</v>
      </c>
      <c r="B682" s="3" t="s">
        <v>3487</v>
      </c>
      <c r="C682" s="3">
        <v>778</v>
      </c>
      <c r="D682" s="23">
        <v>35163</v>
      </c>
      <c r="E682" s="3" t="s">
        <v>1</v>
      </c>
      <c r="F682" s="3" t="s">
        <v>1239</v>
      </c>
      <c r="G682" s="3">
        <v>8</v>
      </c>
      <c r="H682" s="3" t="s">
        <v>18</v>
      </c>
      <c r="K682" s="23" t="s">
        <v>29</v>
      </c>
      <c r="L682" s="23">
        <v>45869</v>
      </c>
      <c r="M682" s="23">
        <v>45886</v>
      </c>
      <c r="N682" s="23">
        <v>45897</v>
      </c>
      <c r="O682" s="23">
        <v>45985</v>
      </c>
    </row>
    <row r="683" spans="1:15" ht="24" customHeight="1" thickTop="1" thickBot="1" x14ac:dyDescent="0.45">
      <c r="A683" s="40" t="s">
        <v>3488</v>
      </c>
      <c r="B683" s="3" t="s">
        <v>3489</v>
      </c>
      <c r="C683" s="3">
        <v>726</v>
      </c>
      <c r="D683" s="23">
        <v>36031</v>
      </c>
      <c r="E683" s="3" t="s">
        <v>1</v>
      </c>
      <c r="F683" s="3" t="s">
        <v>1239</v>
      </c>
      <c r="G683" s="3">
        <v>8</v>
      </c>
      <c r="H683" s="3" t="s">
        <v>18</v>
      </c>
      <c r="K683" s="23" t="s">
        <v>34</v>
      </c>
      <c r="L683" s="23">
        <v>45565</v>
      </c>
      <c r="M683" s="23">
        <v>45592</v>
      </c>
      <c r="N683" s="23">
        <v>45573</v>
      </c>
      <c r="O683" s="23">
        <v>45650</v>
      </c>
    </row>
    <row r="684" spans="1:15" ht="24" customHeight="1" thickTop="1" thickBot="1" x14ac:dyDescent="0.45">
      <c r="A684" s="40" t="s">
        <v>3490</v>
      </c>
      <c r="B684" s="3" t="s">
        <v>3491</v>
      </c>
      <c r="C684" s="3">
        <v>685</v>
      </c>
      <c r="D684" s="23" t="s">
        <v>3749</v>
      </c>
      <c r="E684" s="3" t="s">
        <v>1</v>
      </c>
      <c r="F684" s="3" t="s">
        <v>1239</v>
      </c>
      <c r="G684" s="3">
        <v>8</v>
      </c>
      <c r="H684" s="3" t="s">
        <v>18</v>
      </c>
      <c r="M684" s="23">
        <v>45432</v>
      </c>
      <c r="N684" s="23">
        <v>45446</v>
      </c>
    </row>
    <row r="685" spans="1:15" ht="24" customHeight="1" thickTop="1" thickBot="1" x14ac:dyDescent="0.45">
      <c r="A685" s="40" t="s">
        <v>3492</v>
      </c>
      <c r="B685" s="3" t="s">
        <v>3493</v>
      </c>
      <c r="C685" s="3">
        <v>705</v>
      </c>
      <c r="D685" s="23">
        <v>36957</v>
      </c>
      <c r="E685" s="3" t="s">
        <v>1</v>
      </c>
      <c r="F685" s="3" t="s">
        <v>1239</v>
      </c>
      <c r="G685" s="3">
        <v>8</v>
      </c>
      <c r="H685" s="3" t="s">
        <v>18</v>
      </c>
      <c r="K685" s="23" t="s">
        <v>1217</v>
      </c>
      <c r="M685" s="23">
        <v>45514</v>
      </c>
      <c r="N685" s="23">
        <v>45523</v>
      </c>
    </row>
    <row r="686" spans="1:15" ht="24" customHeight="1" thickTop="1" thickBot="1" x14ac:dyDescent="0.45">
      <c r="A686" s="40" t="s">
        <v>3494</v>
      </c>
      <c r="B686" s="3" t="s">
        <v>3495</v>
      </c>
      <c r="C686" s="3">
        <v>783</v>
      </c>
      <c r="D686" s="23">
        <v>36883</v>
      </c>
      <c r="E686" s="3" t="s">
        <v>1</v>
      </c>
      <c r="F686" s="3" t="s">
        <v>1239</v>
      </c>
      <c r="G686" s="3">
        <v>8</v>
      </c>
      <c r="H686" s="3" t="s">
        <v>18</v>
      </c>
      <c r="K686" s="23" t="s">
        <v>1222</v>
      </c>
      <c r="L686" s="23">
        <v>45869</v>
      </c>
      <c r="M686" s="23">
        <v>45894</v>
      </c>
      <c r="N686" s="23">
        <v>45897</v>
      </c>
      <c r="O686" s="23">
        <v>45985</v>
      </c>
    </row>
    <row r="687" spans="1:15" ht="24" customHeight="1" thickTop="1" thickBot="1" x14ac:dyDescent="0.45">
      <c r="A687" s="40" t="s">
        <v>3496</v>
      </c>
      <c r="B687" s="3" t="s">
        <v>3497</v>
      </c>
      <c r="C687" s="3">
        <v>769</v>
      </c>
      <c r="D687" s="23">
        <v>36850</v>
      </c>
      <c r="E687" s="3" t="s">
        <v>1</v>
      </c>
      <c r="F687" s="3" t="s">
        <v>1239</v>
      </c>
      <c r="G687" s="3">
        <v>8</v>
      </c>
      <c r="H687" s="3" t="s">
        <v>18</v>
      </c>
      <c r="K687" s="23" t="s">
        <v>32</v>
      </c>
      <c r="L687" s="23">
        <v>45843</v>
      </c>
      <c r="M687" s="23">
        <v>45869</v>
      </c>
      <c r="N687" s="23">
        <v>45856</v>
      </c>
      <c r="O687" s="23">
        <v>45930</v>
      </c>
    </row>
    <row r="688" spans="1:15" ht="24" customHeight="1" thickTop="1" thickBot="1" x14ac:dyDescent="0.45">
      <c r="A688" s="40" t="s">
        <v>3498</v>
      </c>
      <c r="B688" s="3" t="s">
        <v>3499</v>
      </c>
      <c r="C688" s="3">
        <v>725</v>
      </c>
      <c r="D688" s="23">
        <v>36361</v>
      </c>
      <c r="E688" s="3" t="s">
        <v>1</v>
      </c>
      <c r="F688" s="3" t="s">
        <v>1239</v>
      </c>
      <c r="G688" s="3">
        <v>8</v>
      </c>
      <c r="H688" s="3" t="s">
        <v>18</v>
      </c>
      <c r="K688" s="23" t="s">
        <v>28</v>
      </c>
      <c r="M688" s="23">
        <v>45590</v>
      </c>
      <c r="N688" s="23">
        <v>45573</v>
      </c>
    </row>
    <row r="689" spans="1:15" ht="24" customHeight="1" thickTop="1" thickBot="1" x14ac:dyDescent="0.45">
      <c r="A689" s="40" t="s">
        <v>3500</v>
      </c>
      <c r="B689" s="3" t="s">
        <v>3501</v>
      </c>
      <c r="C689" s="3">
        <v>449</v>
      </c>
      <c r="D689" s="23">
        <v>35737</v>
      </c>
      <c r="E689" s="3" t="s">
        <v>1</v>
      </c>
      <c r="F689" s="3" t="s">
        <v>1239</v>
      </c>
      <c r="G689" s="3">
        <v>8</v>
      </c>
      <c r="H689" s="3" t="s">
        <v>18</v>
      </c>
      <c r="K689" s="23" t="s">
        <v>1173</v>
      </c>
      <c r="L689" s="23">
        <v>44525</v>
      </c>
      <c r="M689" s="23">
        <v>44526</v>
      </c>
      <c r="N689" s="23">
        <v>44525</v>
      </c>
    </row>
    <row r="690" spans="1:15" ht="24" customHeight="1" thickTop="1" thickBot="1" x14ac:dyDescent="0.45">
      <c r="A690" s="40" t="s">
        <v>3502</v>
      </c>
      <c r="B690" s="3" t="s">
        <v>3503</v>
      </c>
      <c r="C690" s="3">
        <v>743</v>
      </c>
      <c r="D690" s="23">
        <v>34452</v>
      </c>
      <c r="E690" s="3" t="s">
        <v>1</v>
      </c>
      <c r="F690" s="3" t="s">
        <v>1239</v>
      </c>
      <c r="G690" s="3">
        <v>8</v>
      </c>
      <c r="H690" s="3" t="s">
        <v>18</v>
      </c>
      <c r="L690" s="23">
        <v>45627</v>
      </c>
      <c r="M690" s="23">
        <v>45734</v>
      </c>
      <c r="N690" s="23">
        <v>45760</v>
      </c>
      <c r="O690" s="23">
        <v>45760</v>
      </c>
    </row>
    <row r="691" spans="1:15" ht="24" customHeight="1" thickTop="1" thickBot="1" x14ac:dyDescent="0.45">
      <c r="A691" s="40" t="s">
        <v>3504</v>
      </c>
      <c r="B691" s="3" t="s">
        <v>3505</v>
      </c>
      <c r="C691" s="3">
        <v>538</v>
      </c>
      <c r="D691" s="23" t="s">
        <v>3749</v>
      </c>
      <c r="E691" s="3" t="s">
        <v>1</v>
      </c>
      <c r="F691" s="3" t="s">
        <v>1239</v>
      </c>
      <c r="G691" s="3">
        <v>8</v>
      </c>
      <c r="H691" s="3" t="s">
        <v>18</v>
      </c>
      <c r="M691" s="23">
        <v>44759</v>
      </c>
      <c r="N691" s="23">
        <v>44925</v>
      </c>
      <c r="O691" s="23">
        <v>44925</v>
      </c>
    </row>
    <row r="692" spans="1:15" ht="24" customHeight="1" thickTop="1" thickBot="1" x14ac:dyDescent="0.45">
      <c r="A692" s="40" t="s">
        <v>3506</v>
      </c>
      <c r="B692" s="3" t="s">
        <v>3507</v>
      </c>
      <c r="C692" s="3">
        <v>533</v>
      </c>
      <c r="D692" s="23" t="s">
        <v>3749</v>
      </c>
      <c r="E692" s="3" t="s">
        <v>1</v>
      </c>
      <c r="F692" s="3" t="s">
        <v>1239</v>
      </c>
      <c r="G692" s="3">
        <v>8</v>
      </c>
      <c r="H692" s="3" t="s">
        <v>18</v>
      </c>
      <c r="L692" s="23">
        <v>44748</v>
      </c>
      <c r="M692" s="23">
        <v>44749</v>
      </c>
      <c r="N692" s="23">
        <v>44748</v>
      </c>
    </row>
    <row r="693" spans="1:15" ht="24" customHeight="1" thickTop="1" thickBot="1" x14ac:dyDescent="0.45">
      <c r="A693" s="40" t="s">
        <v>3508</v>
      </c>
      <c r="B693" s="3" t="s">
        <v>3509</v>
      </c>
      <c r="C693" s="3">
        <v>500</v>
      </c>
      <c r="D693" s="23">
        <v>36564</v>
      </c>
      <c r="E693" s="3" t="s">
        <v>1</v>
      </c>
      <c r="F693" s="3" t="s">
        <v>1239</v>
      </c>
      <c r="G693" s="3">
        <v>8</v>
      </c>
      <c r="H693" s="3" t="s">
        <v>18</v>
      </c>
      <c r="L693" s="23">
        <v>44634</v>
      </c>
      <c r="M693" s="23">
        <v>44636</v>
      </c>
      <c r="N693" s="23">
        <v>44634</v>
      </c>
    </row>
    <row r="694" spans="1:15" ht="24" customHeight="1" thickTop="1" thickBot="1" x14ac:dyDescent="0.45">
      <c r="A694" s="40" t="s">
        <v>3510</v>
      </c>
      <c r="B694" s="3" t="s">
        <v>3511</v>
      </c>
      <c r="C694" s="3">
        <v>558</v>
      </c>
      <c r="D694" s="23" t="s">
        <v>3749</v>
      </c>
      <c r="E694" s="3" t="s">
        <v>1</v>
      </c>
      <c r="F694" s="3" t="s">
        <v>1239</v>
      </c>
      <c r="G694" s="3">
        <v>8</v>
      </c>
      <c r="H694" s="3" t="s">
        <v>18</v>
      </c>
      <c r="L694" s="23">
        <v>44925</v>
      </c>
      <c r="M694" s="23">
        <v>44940</v>
      </c>
      <c r="N694" s="23">
        <v>44925</v>
      </c>
    </row>
    <row r="695" spans="1:15" ht="24" customHeight="1" thickTop="1" thickBot="1" x14ac:dyDescent="0.45">
      <c r="A695" s="40" t="s">
        <v>3512</v>
      </c>
      <c r="B695" s="3" t="s">
        <v>3513</v>
      </c>
      <c r="C695" s="3">
        <v>646</v>
      </c>
      <c r="D695" s="23" t="s">
        <v>3749</v>
      </c>
      <c r="E695" s="3" t="s">
        <v>1</v>
      </c>
      <c r="F695" s="3" t="s">
        <v>1239</v>
      </c>
      <c r="G695" s="3">
        <v>8</v>
      </c>
      <c r="H695" s="3" t="s">
        <v>18</v>
      </c>
      <c r="L695" s="23">
        <v>45230</v>
      </c>
      <c r="M695" s="23">
        <v>45243</v>
      </c>
      <c r="N695" s="23">
        <v>45230</v>
      </c>
    </row>
    <row r="696" spans="1:15" ht="24" customHeight="1" thickTop="1" thickBot="1" x14ac:dyDescent="0.45">
      <c r="A696" s="40" t="s">
        <v>3514</v>
      </c>
      <c r="B696" s="3" t="s">
        <v>3515</v>
      </c>
      <c r="C696" s="3">
        <v>355</v>
      </c>
      <c r="D696" s="23" t="s">
        <v>3749</v>
      </c>
      <c r="E696" s="3" t="s">
        <v>1</v>
      </c>
      <c r="F696" s="3" t="s">
        <v>1239</v>
      </c>
      <c r="G696" s="3">
        <v>8</v>
      </c>
      <c r="H696" s="3" t="s">
        <v>18</v>
      </c>
      <c r="M696" s="23">
        <v>44325</v>
      </c>
    </row>
    <row r="697" spans="1:15" ht="24" customHeight="1" thickTop="1" thickBot="1" x14ac:dyDescent="0.45">
      <c r="A697" s="40" t="s">
        <v>3516</v>
      </c>
      <c r="B697" s="3" t="s">
        <v>3517</v>
      </c>
      <c r="C697" s="3">
        <v>652</v>
      </c>
      <c r="D697" s="23" t="s">
        <v>3749</v>
      </c>
      <c r="E697" s="3" t="s">
        <v>1</v>
      </c>
      <c r="F697" s="3" t="s">
        <v>1239</v>
      </c>
      <c r="G697" s="3">
        <v>8</v>
      </c>
      <c r="H697" s="3" t="s">
        <v>18</v>
      </c>
      <c r="K697" s="23" t="s">
        <v>86</v>
      </c>
      <c r="M697" s="23">
        <v>45288</v>
      </c>
      <c r="N697" s="23">
        <v>45289</v>
      </c>
    </row>
    <row r="698" spans="1:15" ht="24" customHeight="1" thickTop="1" thickBot="1" x14ac:dyDescent="0.45">
      <c r="A698" s="40" t="s">
        <v>3518</v>
      </c>
      <c r="B698" s="3" t="s">
        <v>3519</v>
      </c>
      <c r="C698" s="3">
        <v>569</v>
      </c>
      <c r="D698" s="23" t="s">
        <v>3749</v>
      </c>
      <c r="E698" s="3" t="s">
        <v>1</v>
      </c>
      <c r="F698" s="3" t="s">
        <v>1239</v>
      </c>
      <c r="G698" s="3">
        <v>8</v>
      </c>
      <c r="H698" s="3" t="s">
        <v>18</v>
      </c>
      <c r="L698" s="23">
        <v>44925</v>
      </c>
      <c r="M698" s="23">
        <v>44950</v>
      </c>
      <c r="N698" s="23">
        <v>44925</v>
      </c>
    </row>
    <row r="699" spans="1:15" ht="24" customHeight="1" thickTop="1" thickBot="1" x14ac:dyDescent="0.45">
      <c r="A699" s="40" t="s">
        <v>3520</v>
      </c>
      <c r="B699" s="3" t="s">
        <v>3521</v>
      </c>
      <c r="C699" s="3">
        <v>809</v>
      </c>
      <c r="D699" s="23">
        <v>34776</v>
      </c>
      <c r="E699" s="3" t="s">
        <v>1</v>
      </c>
      <c r="F699" s="3" t="s">
        <v>6</v>
      </c>
      <c r="G699" s="3">
        <v>8</v>
      </c>
      <c r="H699" s="3" t="s">
        <v>18</v>
      </c>
      <c r="K699" s="23" t="s">
        <v>2759</v>
      </c>
      <c r="L699" s="23">
        <v>45976</v>
      </c>
      <c r="M699" s="23">
        <v>46003</v>
      </c>
      <c r="N699" s="23">
        <v>45985</v>
      </c>
      <c r="O699" s="23">
        <v>46076</v>
      </c>
    </row>
    <row r="700" spans="1:15" ht="24" customHeight="1" thickTop="1" thickBot="1" x14ac:dyDescent="0.45">
      <c r="A700" s="40" t="s">
        <v>3522</v>
      </c>
      <c r="B700" s="3" t="s">
        <v>1111</v>
      </c>
      <c r="C700" s="3">
        <v>813</v>
      </c>
      <c r="D700" s="23">
        <v>35155</v>
      </c>
      <c r="E700" s="3" t="s">
        <v>1</v>
      </c>
      <c r="F700" s="3" t="s">
        <v>6</v>
      </c>
      <c r="G700" s="3">
        <v>8</v>
      </c>
      <c r="H700" s="3" t="s">
        <v>18</v>
      </c>
      <c r="K700" s="23" t="s">
        <v>28</v>
      </c>
      <c r="L700" s="23">
        <v>45978</v>
      </c>
      <c r="M700" s="23">
        <v>46011</v>
      </c>
      <c r="N700" s="23">
        <v>45985</v>
      </c>
      <c r="O700" s="23">
        <v>46076</v>
      </c>
    </row>
    <row r="701" spans="1:15" ht="24" customHeight="1" thickTop="1" thickBot="1" x14ac:dyDescent="0.45">
      <c r="A701" s="40" t="s">
        <v>3523</v>
      </c>
      <c r="B701" s="3" t="s">
        <v>3524</v>
      </c>
      <c r="C701" s="3">
        <v>755</v>
      </c>
      <c r="D701" s="23">
        <v>36474</v>
      </c>
      <c r="E701" s="3" t="s">
        <v>1</v>
      </c>
      <c r="F701" s="3" t="s">
        <v>6</v>
      </c>
      <c r="G701" s="3">
        <v>8</v>
      </c>
      <c r="H701" s="3" t="s">
        <v>18</v>
      </c>
      <c r="K701" s="23" t="s">
        <v>1005</v>
      </c>
      <c r="L701" s="23">
        <v>45818</v>
      </c>
      <c r="M701" s="23">
        <v>45827</v>
      </c>
      <c r="N701" s="23">
        <v>45832</v>
      </c>
      <c r="O701" s="23">
        <v>45866</v>
      </c>
    </row>
    <row r="702" spans="1:15" ht="24" customHeight="1" thickTop="1" thickBot="1" x14ac:dyDescent="0.45">
      <c r="A702" s="40" t="s">
        <v>3525</v>
      </c>
      <c r="B702" s="3" t="s">
        <v>3526</v>
      </c>
      <c r="C702" s="3">
        <v>782</v>
      </c>
      <c r="D702" s="23">
        <v>35631</v>
      </c>
      <c r="E702" s="3" t="s">
        <v>1</v>
      </c>
      <c r="F702" s="3" t="s">
        <v>6</v>
      </c>
      <c r="G702" s="3">
        <v>8</v>
      </c>
      <c r="H702" s="3" t="s">
        <v>18</v>
      </c>
      <c r="K702" s="23" t="s">
        <v>35</v>
      </c>
      <c r="L702" s="23">
        <v>45846</v>
      </c>
      <c r="M702" s="23">
        <v>45889</v>
      </c>
      <c r="N702" s="23">
        <v>45856</v>
      </c>
      <c r="O702" s="23">
        <v>45985</v>
      </c>
    </row>
    <row r="703" spans="1:15" ht="24" customHeight="1" thickTop="1" thickBot="1" x14ac:dyDescent="0.45">
      <c r="A703" s="40" t="s">
        <v>3527</v>
      </c>
      <c r="B703" s="3" t="s">
        <v>3528</v>
      </c>
      <c r="C703" s="3">
        <v>525</v>
      </c>
      <c r="D703" s="23">
        <v>34193</v>
      </c>
      <c r="E703" s="3" t="s">
        <v>1</v>
      </c>
      <c r="F703" s="3" t="s">
        <v>6</v>
      </c>
      <c r="G703" s="3">
        <v>8</v>
      </c>
      <c r="H703" s="3" t="s">
        <v>18</v>
      </c>
      <c r="K703" s="23" t="s">
        <v>3529</v>
      </c>
      <c r="L703" s="23">
        <v>44731</v>
      </c>
      <c r="M703" s="23">
        <v>44731</v>
      </c>
      <c r="N703" s="23">
        <v>44748</v>
      </c>
      <c r="O703" s="23">
        <v>45802</v>
      </c>
    </row>
    <row r="704" spans="1:15" ht="24" customHeight="1" thickTop="1" thickBot="1" x14ac:dyDescent="0.45">
      <c r="A704" s="40" t="s">
        <v>3530</v>
      </c>
      <c r="B704" s="3" t="s">
        <v>3531</v>
      </c>
      <c r="C704" s="3">
        <v>766</v>
      </c>
      <c r="D704" s="23">
        <v>37281</v>
      </c>
      <c r="E704" s="3" t="s">
        <v>1</v>
      </c>
      <c r="F704" s="3" t="s">
        <v>6</v>
      </c>
      <c r="G704" s="3">
        <v>8</v>
      </c>
      <c r="H704" s="3" t="s">
        <v>18</v>
      </c>
      <c r="K704" s="23" t="s">
        <v>35</v>
      </c>
      <c r="L704" s="23">
        <v>45858</v>
      </c>
      <c r="M704" s="23">
        <v>45867</v>
      </c>
      <c r="N704" s="23">
        <v>45866</v>
      </c>
      <c r="O704" s="23">
        <v>45930</v>
      </c>
    </row>
    <row r="705" spans="1:15" ht="24" customHeight="1" thickTop="1" thickBot="1" x14ac:dyDescent="0.45">
      <c r="A705" s="40" t="s">
        <v>3532</v>
      </c>
      <c r="B705" s="3" t="s">
        <v>3533</v>
      </c>
      <c r="C705" s="3">
        <v>761</v>
      </c>
      <c r="D705" s="23">
        <v>37375</v>
      </c>
      <c r="E705" s="3" t="s">
        <v>1</v>
      </c>
      <c r="F705" s="3" t="s">
        <v>6</v>
      </c>
      <c r="G705" s="3">
        <v>8</v>
      </c>
      <c r="H705" s="3" t="s">
        <v>18</v>
      </c>
      <c r="K705" s="23" t="s">
        <v>15</v>
      </c>
      <c r="L705" s="23">
        <v>45847</v>
      </c>
      <c r="M705" s="23">
        <v>45857</v>
      </c>
      <c r="N705" s="23">
        <v>45856</v>
      </c>
      <c r="O705" s="23">
        <v>45897</v>
      </c>
    </row>
    <row r="706" spans="1:15" ht="24" customHeight="1" thickTop="1" thickBot="1" x14ac:dyDescent="0.45">
      <c r="A706" s="40" t="s">
        <v>3534</v>
      </c>
      <c r="B706" s="3" t="s">
        <v>3535</v>
      </c>
      <c r="C706" s="3">
        <v>736</v>
      </c>
      <c r="D706" s="23">
        <v>37326</v>
      </c>
      <c r="E706" s="3" t="s">
        <v>1</v>
      </c>
      <c r="F706" s="3" t="s">
        <v>6</v>
      </c>
      <c r="G706" s="3">
        <v>8</v>
      </c>
      <c r="H706" s="3" t="s">
        <v>18</v>
      </c>
      <c r="K706" s="23" t="s">
        <v>3536</v>
      </c>
      <c r="L706" s="23">
        <v>45677</v>
      </c>
      <c r="M706" s="23">
        <v>45698</v>
      </c>
      <c r="N706" s="23">
        <v>45693</v>
      </c>
      <c r="O706" s="23">
        <v>45930</v>
      </c>
    </row>
    <row r="707" spans="1:15" ht="24" customHeight="1" thickTop="1" thickBot="1" x14ac:dyDescent="0.45">
      <c r="A707" s="40" t="s">
        <v>3537</v>
      </c>
      <c r="B707" s="3" t="s">
        <v>3538</v>
      </c>
      <c r="C707" s="3">
        <v>737</v>
      </c>
      <c r="D707" s="23">
        <v>35662</v>
      </c>
      <c r="E707" s="3" t="s">
        <v>1</v>
      </c>
      <c r="F707" s="3" t="s">
        <v>6</v>
      </c>
      <c r="G707" s="3">
        <v>8</v>
      </c>
      <c r="H707" s="3" t="s">
        <v>18</v>
      </c>
      <c r="K707" s="23" t="s">
        <v>1218</v>
      </c>
      <c r="L707" s="23">
        <v>45675</v>
      </c>
      <c r="M707" s="23">
        <v>45698</v>
      </c>
      <c r="N707" s="23">
        <v>45693</v>
      </c>
      <c r="O707" s="23">
        <v>45802</v>
      </c>
    </row>
    <row r="708" spans="1:15" ht="24" customHeight="1" thickTop="1" thickBot="1" x14ac:dyDescent="0.45">
      <c r="A708" s="40" t="s">
        <v>3539</v>
      </c>
      <c r="B708" s="3" t="s">
        <v>3540</v>
      </c>
      <c r="C708" s="3">
        <v>749</v>
      </c>
      <c r="D708" s="23">
        <v>34737</v>
      </c>
      <c r="E708" s="3" t="s">
        <v>1</v>
      </c>
      <c r="F708" s="3" t="s">
        <v>6</v>
      </c>
      <c r="G708" s="3">
        <v>8</v>
      </c>
      <c r="H708" s="3" t="s">
        <v>18</v>
      </c>
      <c r="L708" s="23">
        <v>45762</v>
      </c>
      <c r="M708" s="23">
        <v>45770</v>
      </c>
      <c r="N708" s="23">
        <v>45832</v>
      </c>
      <c r="O708" s="23">
        <v>45832</v>
      </c>
    </row>
    <row r="709" spans="1:15" ht="24" customHeight="1" thickTop="1" thickBot="1" x14ac:dyDescent="0.45">
      <c r="A709" s="40" t="s">
        <v>3541</v>
      </c>
      <c r="B709" s="3" t="s">
        <v>3542</v>
      </c>
      <c r="C709" s="3">
        <v>679</v>
      </c>
      <c r="D709" s="23" t="s">
        <v>3749</v>
      </c>
      <c r="E709" s="3" t="s">
        <v>1</v>
      </c>
      <c r="F709" s="3" t="s">
        <v>6</v>
      </c>
      <c r="G709" s="3">
        <v>8</v>
      </c>
      <c r="H709" s="3" t="s">
        <v>18</v>
      </c>
      <c r="M709" s="23">
        <v>45407</v>
      </c>
      <c r="N709" s="23">
        <v>45411</v>
      </c>
    </row>
    <row r="710" spans="1:15" ht="24" customHeight="1" thickTop="1" thickBot="1" x14ac:dyDescent="0.45">
      <c r="A710" s="40" t="s">
        <v>3543</v>
      </c>
      <c r="B710" s="3" t="s">
        <v>3544</v>
      </c>
      <c r="C710" s="3">
        <v>662</v>
      </c>
      <c r="D710" s="23" t="s">
        <v>3749</v>
      </c>
      <c r="E710" s="3" t="s">
        <v>1</v>
      </c>
      <c r="F710" s="3" t="s">
        <v>6</v>
      </c>
      <c r="G710" s="3">
        <v>8</v>
      </c>
      <c r="H710" s="3" t="s">
        <v>18</v>
      </c>
      <c r="K710" s="23" t="s">
        <v>1213</v>
      </c>
      <c r="L710" s="23">
        <v>45344</v>
      </c>
      <c r="M710" s="23">
        <v>45372</v>
      </c>
      <c r="N710" s="23">
        <v>45344</v>
      </c>
    </row>
    <row r="711" spans="1:15" ht="24" customHeight="1" thickTop="1" thickBot="1" x14ac:dyDescent="0.45">
      <c r="A711" s="40" t="s">
        <v>3545</v>
      </c>
      <c r="B711" s="3" t="s">
        <v>3546</v>
      </c>
      <c r="C711" s="3">
        <v>684</v>
      </c>
      <c r="D711" s="23" t="s">
        <v>3749</v>
      </c>
      <c r="E711" s="3" t="s">
        <v>1</v>
      </c>
      <c r="F711" s="3" t="s">
        <v>6</v>
      </c>
      <c r="G711" s="3">
        <v>8</v>
      </c>
      <c r="H711" s="3" t="s">
        <v>18</v>
      </c>
      <c r="K711" s="23" t="s">
        <v>1214</v>
      </c>
      <c r="L711" s="23">
        <v>45376</v>
      </c>
      <c r="M711" s="23">
        <v>45429</v>
      </c>
      <c r="N711" s="23">
        <v>45376</v>
      </c>
    </row>
    <row r="712" spans="1:15" ht="24" customHeight="1" thickTop="1" thickBot="1" x14ac:dyDescent="0.45">
      <c r="A712" s="40" t="s">
        <v>3547</v>
      </c>
      <c r="B712" s="3" t="s">
        <v>3548</v>
      </c>
      <c r="C712" s="3">
        <v>678</v>
      </c>
      <c r="D712" s="23" t="s">
        <v>3749</v>
      </c>
      <c r="E712" s="3" t="s">
        <v>1</v>
      </c>
      <c r="F712" s="3" t="s">
        <v>6</v>
      </c>
      <c r="G712" s="3">
        <v>8</v>
      </c>
      <c r="H712" s="3" t="s">
        <v>18</v>
      </c>
      <c r="L712" s="23">
        <v>45376</v>
      </c>
      <c r="M712" s="23">
        <v>45407</v>
      </c>
      <c r="N712" s="23">
        <v>45376</v>
      </c>
    </row>
    <row r="713" spans="1:15" ht="24" customHeight="1" thickTop="1" thickBot="1" x14ac:dyDescent="0.45">
      <c r="A713" s="40" t="s">
        <v>41</v>
      </c>
      <c r="B713" s="3" t="s">
        <v>3549</v>
      </c>
      <c r="C713" s="3">
        <v>6059</v>
      </c>
      <c r="D713" s="23">
        <v>38637</v>
      </c>
      <c r="E713" s="3" t="s">
        <v>1</v>
      </c>
      <c r="F713" s="3" t="s">
        <v>6</v>
      </c>
      <c r="G713" s="3">
        <v>8</v>
      </c>
      <c r="H713" s="3" t="s">
        <v>18</v>
      </c>
      <c r="L713" s="23">
        <v>45710</v>
      </c>
      <c r="M713" s="23">
        <v>45831</v>
      </c>
      <c r="N713" s="23">
        <v>45712</v>
      </c>
      <c r="O713" s="23">
        <v>45776</v>
      </c>
    </row>
    <row r="714" spans="1:15" ht="24" customHeight="1" thickTop="1" thickBot="1" x14ac:dyDescent="0.45">
      <c r="A714" s="40" t="s">
        <v>3550</v>
      </c>
      <c r="B714" s="3" t="s">
        <v>3551</v>
      </c>
      <c r="C714" s="3">
        <v>680</v>
      </c>
      <c r="D714" s="23">
        <v>38215</v>
      </c>
      <c r="E714" s="3" t="s">
        <v>1</v>
      </c>
      <c r="F714" s="3" t="s">
        <v>6</v>
      </c>
      <c r="G714" s="3">
        <v>8</v>
      </c>
      <c r="H714" s="3" t="s">
        <v>18</v>
      </c>
      <c r="K714" s="23" t="s">
        <v>1215</v>
      </c>
      <c r="L714" s="23">
        <v>45376</v>
      </c>
      <c r="M714" s="23">
        <v>45412</v>
      </c>
      <c r="N714" s="23">
        <v>45376</v>
      </c>
    </row>
    <row r="715" spans="1:15" ht="24" customHeight="1" thickTop="1" thickBot="1" x14ac:dyDescent="0.45">
      <c r="A715" s="40" t="s">
        <v>3552</v>
      </c>
      <c r="B715" s="3" t="s">
        <v>3553</v>
      </c>
      <c r="C715" s="3">
        <v>757</v>
      </c>
      <c r="D715" s="23">
        <v>36516</v>
      </c>
      <c r="E715" s="3" t="s">
        <v>1</v>
      </c>
      <c r="F715" s="3" t="s">
        <v>6</v>
      </c>
      <c r="G715" s="3">
        <v>8</v>
      </c>
      <c r="H715" s="3" t="s">
        <v>18</v>
      </c>
      <c r="K715" s="23" t="s">
        <v>1221</v>
      </c>
      <c r="L715" s="23">
        <v>45803</v>
      </c>
      <c r="M715" s="23">
        <v>45827</v>
      </c>
      <c r="N715" s="23">
        <v>45832</v>
      </c>
      <c r="O715" s="23">
        <v>45897</v>
      </c>
    </row>
    <row r="716" spans="1:15" ht="24" customHeight="1" thickTop="1" thickBot="1" x14ac:dyDescent="0.45">
      <c r="A716" s="40" t="s">
        <v>3554</v>
      </c>
      <c r="B716" s="3" t="s">
        <v>3555</v>
      </c>
      <c r="C716" s="3">
        <v>686</v>
      </c>
      <c r="D716" s="23">
        <v>36180</v>
      </c>
      <c r="E716" s="3" t="s">
        <v>1</v>
      </c>
      <c r="F716" s="3" t="s">
        <v>6</v>
      </c>
      <c r="G716" s="3">
        <v>8</v>
      </c>
      <c r="H716" s="3" t="s">
        <v>18</v>
      </c>
      <c r="K716" s="23" t="s">
        <v>29</v>
      </c>
      <c r="L716" s="23">
        <v>45359</v>
      </c>
      <c r="M716" s="23">
        <v>45436</v>
      </c>
      <c r="N716" s="23">
        <v>45359</v>
      </c>
    </row>
    <row r="717" spans="1:15" ht="24" customHeight="1" thickTop="1" thickBot="1" x14ac:dyDescent="0.45">
      <c r="A717" s="40" t="s">
        <v>3556</v>
      </c>
      <c r="B717" s="3" t="s">
        <v>3557</v>
      </c>
      <c r="C717" s="3">
        <v>665</v>
      </c>
      <c r="D717" s="23">
        <v>35913</v>
      </c>
      <c r="E717" s="3" t="s">
        <v>1</v>
      </c>
      <c r="F717" s="3" t="s">
        <v>6</v>
      </c>
      <c r="G717" s="3">
        <v>8</v>
      </c>
      <c r="H717" s="3" t="s">
        <v>18</v>
      </c>
      <c r="L717" s="23">
        <v>45376</v>
      </c>
      <c r="M717" s="23">
        <v>45377</v>
      </c>
      <c r="N717" s="23">
        <v>45376</v>
      </c>
    </row>
    <row r="718" spans="1:15" ht="24" customHeight="1" thickTop="1" thickBot="1" x14ac:dyDescent="0.45">
      <c r="A718" s="40" t="s">
        <v>3558</v>
      </c>
      <c r="B718" s="3" t="s">
        <v>3559</v>
      </c>
      <c r="C718" s="3">
        <v>762</v>
      </c>
      <c r="D718" s="23">
        <v>35466</v>
      </c>
      <c r="E718" s="3" t="s">
        <v>1</v>
      </c>
      <c r="F718" s="3" t="s">
        <v>6</v>
      </c>
      <c r="G718" s="3">
        <v>8</v>
      </c>
      <c r="H718" s="3" t="s">
        <v>18</v>
      </c>
      <c r="K718" s="23" t="s">
        <v>15</v>
      </c>
      <c r="L718" s="23">
        <v>45832</v>
      </c>
      <c r="M718" s="23">
        <v>45857</v>
      </c>
      <c r="N718" s="23">
        <v>45856</v>
      </c>
      <c r="O718" s="23">
        <v>45897</v>
      </c>
    </row>
    <row r="719" spans="1:15" ht="24" customHeight="1" thickTop="1" thickBot="1" x14ac:dyDescent="0.45">
      <c r="A719" s="40" t="s">
        <v>3560</v>
      </c>
      <c r="B719" s="3" t="s">
        <v>3561</v>
      </c>
      <c r="C719" s="3">
        <v>760</v>
      </c>
      <c r="D719" s="23">
        <v>35170</v>
      </c>
      <c r="E719" s="3" t="s">
        <v>1</v>
      </c>
      <c r="F719" s="3" t="s">
        <v>6</v>
      </c>
      <c r="G719" s="3">
        <v>8</v>
      </c>
      <c r="H719" s="3" t="s">
        <v>18</v>
      </c>
      <c r="L719" s="23">
        <v>45799</v>
      </c>
      <c r="M719" s="23">
        <v>45854</v>
      </c>
      <c r="N719" s="23">
        <v>45832</v>
      </c>
      <c r="O719" s="23">
        <v>45897</v>
      </c>
    </row>
    <row r="720" spans="1:15" ht="24" customHeight="1" thickTop="1" thickBot="1" x14ac:dyDescent="0.45">
      <c r="A720" s="40" t="s">
        <v>3562</v>
      </c>
      <c r="B720" s="3" t="s">
        <v>3563</v>
      </c>
      <c r="C720" s="3">
        <v>765</v>
      </c>
      <c r="D720" s="23">
        <v>35170</v>
      </c>
      <c r="E720" s="3" t="s">
        <v>1</v>
      </c>
      <c r="F720" s="3" t="s">
        <v>6</v>
      </c>
      <c r="G720" s="3">
        <v>8</v>
      </c>
      <c r="H720" s="3" t="s">
        <v>18</v>
      </c>
      <c r="L720" s="23">
        <v>45838</v>
      </c>
      <c r="M720" s="23">
        <v>45865</v>
      </c>
      <c r="N720" s="23">
        <v>45856</v>
      </c>
      <c r="O720" s="23">
        <v>45930</v>
      </c>
    </row>
    <row r="721" spans="1:15" ht="24" customHeight="1" thickTop="1" thickBot="1" x14ac:dyDescent="0.45">
      <c r="A721" s="40" t="s">
        <v>3564</v>
      </c>
      <c r="B721" s="3" t="s">
        <v>3565</v>
      </c>
      <c r="C721" s="3">
        <v>613</v>
      </c>
      <c r="D721" s="23">
        <v>35134</v>
      </c>
      <c r="E721" s="3" t="s">
        <v>1</v>
      </c>
      <c r="F721" s="3" t="s">
        <v>6</v>
      </c>
      <c r="G721" s="3">
        <v>8</v>
      </c>
      <c r="H721" s="3" t="s">
        <v>18</v>
      </c>
      <c r="K721" s="23" t="s">
        <v>1180</v>
      </c>
      <c r="L721" s="23">
        <v>45163</v>
      </c>
      <c r="M721" s="23">
        <v>45169</v>
      </c>
      <c r="N721" s="23">
        <v>45163</v>
      </c>
    </row>
    <row r="722" spans="1:15" ht="24" customHeight="1" thickTop="1" thickBot="1" x14ac:dyDescent="0.45">
      <c r="A722" s="40" t="s">
        <v>3566</v>
      </c>
      <c r="B722" s="3" t="s">
        <v>3567</v>
      </c>
      <c r="C722" s="3">
        <v>776</v>
      </c>
      <c r="D722" s="23">
        <v>37761</v>
      </c>
      <c r="E722" s="3" t="s">
        <v>1</v>
      </c>
      <c r="F722" s="3" t="s">
        <v>6</v>
      </c>
      <c r="G722" s="3">
        <v>8</v>
      </c>
      <c r="H722" s="3" t="s">
        <v>18</v>
      </c>
      <c r="K722" s="23" t="s">
        <v>3568</v>
      </c>
      <c r="L722" s="23">
        <v>45866</v>
      </c>
      <c r="M722" s="23">
        <v>45882</v>
      </c>
      <c r="N722" s="23">
        <v>45897</v>
      </c>
      <c r="O722" s="23">
        <v>45985</v>
      </c>
    </row>
    <row r="723" spans="1:15" ht="24" customHeight="1" thickTop="1" thickBot="1" x14ac:dyDescent="0.45">
      <c r="A723" s="40" t="s">
        <v>3569</v>
      </c>
      <c r="B723" s="3" t="s">
        <v>3570</v>
      </c>
      <c r="C723" s="3">
        <v>676</v>
      </c>
      <c r="D723" s="23" t="s">
        <v>3749</v>
      </c>
      <c r="E723" s="3" t="s">
        <v>1</v>
      </c>
      <c r="F723" s="3" t="s">
        <v>6</v>
      </c>
      <c r="G723" s="3">
        <v>8</v>
      </c>
      <c r="H723" s="3" t="s">
        <v>18</v>
      </c>
      <c r="L723" s="23">
        <v>45392</v>
      </c>
      <c r="M723" s="23">
        <v>45406</v>
      </c>
      <c r="N723" s="23">
        <v>45392</v>
      </c>
    </row>
    <row r="724" spans="1:15" ht="24" customHeight="1" thickTop="1" thickBot="1" x14ac:dyDescent="0.45">
      <c r="A724" s="40" t="s">
        <v>3571</v>
      </c>
      <c r="B724" s="3" t="s">
        <v>3572</v>
      </c>
      <c r="C724" s="3">
        <v>575</v>
      </c>
      <c r="D724" s="23" t="s">
        <v>3749</v>
      </c>
      <c r="E724" s="3" t="s">
        <v>1</v>
      </c>
      <c r="F724" s="3" t="s">
        <v>6</v>
      </c>
      <c r="G724" s="3">
        <v>8</v>
      </c>
      <c r="H724" s="3" t="s">
        <v>18</v>
      </c>
      <c r="L724" s="23">
        <v>44925</v>
      </c>
      <c r="M724" s="23">
        <v>44954</v>
      </c>
      <c r="N724" s="23">
        <v>44925</v>
      </c>
    </row>
    <row r="725" spans="1:15" ht="24" customHeight="1" thickTop="1" thickBot="1" x14ac:dyDescent="0.45">
      <c r="A725" s="40" t="s">
        <v>3573</v>
      </c>
      <c r="B725" s="3" t="s">
        <v>3574</v>
      </c>
      <c r="C725" s="3">
        <v>351</v>
      </c>
      <c r="D725" s="23" t="s">
        <v>3749</v>
      </c>
      <c r="E725" s="3" t="s">
        <v>1</v>
      </c>
      <c r="F725" s="3" t="s">
        <v>6</v>
      </c>
      <c r="G725" s="3">
        <v>8</v>
      </c>
      <c r="H725" s="3" t="s">
        <v>18</v>
      </c>
      <c r="M725" s="23">
        <v>44303</v>
      </c>
    </row>
    <row r="726" spans="1:15" ht="24" customHeight="1" thickTop="1" thickBot="1" x14ac:dyDescent="0.45">
      <c r="A726" s="40" t="s">
        <v>3575</v>
      </c>
      <c r="B726" s="3" t="s">
        <v>3576</v>
      </c>
      <c r="C726" s="3">
        <v>586</v>
      </c>
      <c r="D726" s="23" t="s">
        <v>3749</v>
      </c>
      <c r="E726" s="3" t="s">
        <v>1</v>
      </c>
      <c r="F726" s="3" t="s">
        <v>6</v>
      </c>
      <c r="G726" s="3">
        <v>8</v>
      </c>
      <c r="H726" s="3" t="s">
        <v>18</v>
      </c>
      <c r="L726" s="23">
        <v>44958</v>
      </c>
      <c r="M726" s="23">
        <v>44964</v>
      </c>
      <c r="N726" s="23">
        <v>44958</v>
      </c>
    </row>
    <row r="727" spans="1:15" ht="24" customHeight="1" thickTop="1" thickBot="1" x14ac:dyDescent="0.45">
      <c r="A727" s="40" t="s">
        <v>3577</v>
      </c>
      <c r="B727" s="3" t="s">
        <v>3578</v>
      </c>
      <c r="C727" s="3">
        <v>515</v>
      </c>
      <c r="D727" s="23">
        <v>34204</v>
      </c>
      <c r="E727" s="3" t="s">
        <v>1</v>
      </c>
      <c r="F727" s="3" t="s">
        <v>6</v>
      </c>
      <c r="G727" s="3">
        <v>8</v>
      </c>
      <c r="H727" s="3" t="s">
        <v>18</v>
      </c>
      <c r="K727" s="23" t="s">
        <v>86</v>
      </c>
      <c r="L727" s="23">
        <v>44634</v>
      </c>
      <c r="M727" s="23">
        <v>44670</v>
      </c>
      <c r="N727" s="23">
        <v>44634</v>
      </c>
    </row>
    <row r="728" spans="1:15" ht="24" customHeight="1" thickTop="1" thickBot="1" x14ac:dyDescent="0.45">
      <c r="A728" s="40" t="s">
        <v>3579</v>
      </c>
      <c r="B728" s="3" t="s">
        <v>3580</v>
      </c>
      <c r="C728" s="3">
        <v>523</v>
      </c>
      <c r="D728" s="23">
        <v>34851</v>
      </c>
      <c r="E728" s="3" t="s">
        <v>1</v>
      </c>
      <c r="F728" s="3" t="s">
        <v>6</v>
      </c>
      <c r="G728" s="3">
        <v>8</v>
      </c>
      <c r="H728" s="3" t="s">
        <v>18</v>
      </c>
      <c r="K728" s="23" t="s">
        <v>117</v>
      </c>
      <c r="L728" s="23">
        <v>44684</v>
      </c>
      <c r="M728" s="23">
        <v>44722</v>
      </c>
      <c r="N728" s="23">
        <v>44684</v>
      </c>
    </row>
    <row r="729" spans="1:15" ht="24" customHeight="1" thickTop="1" thickBot="1" x14ac:dyDescent="0.45">
      <c r="A729" s="40" t="s">
        <v>3581</v>
      </c>
      <c r="B729" s="3" t="s">
        <v>3582</v>
      </c>
      <c r="C729" s="3">
        <v>592</v>
      </c>
      <c r="D729" s="23" t="s">
        <v>3749</v>
      </c>
      <c r="E729" s="3" t="s">
        <v>1</v>
      </c>
      <c r="F729" s="3" t="s">
        <v>6</v>
      </c>
      <c r="G729" s="3">
        <v>8</v>
      </c>
      <c r="H729" s="3" t="s">
        <v>18</v>
      </c>
      <c r="L729" s="23">
        <v>44958</v>
      </c>
      <c r="M729" s="23">
        <v>44981</v>
      </c>
      <c r="N729" s="23">
        <v>44958</v>
      </c>
    </row>
    <row r="730" spans="1:15" ht="24" customHeight="1" thickTop="1" thickBot="1" x14ac:dyDescent="0.45">
      <c r="A730" s="40" t="s">
        <v>3583</v>
      </c>
      <c r="B730" s="3" t="s">
        <v>3584</v>
      </c>
      <c r="C730" s="3">
        <v>593</v>
      </c>
      <c r="D730" s="23" t="s">
        <v>3749</v>
      </c>
      <c r="E730" s="3" t="s">
        <v>1</v>
      </c>
      <c r="F730" s="3" t="s">
        <v>6</v>
      </c>
      <c r="G730" s="3">
        <v>8</v>
      </c>
      <c r="H730" s="3" t="s">
        <v>18</v>
      </c>
      <c r="L730" s="23">
        <v>44942</v>
      </c>
      <c r="M730" s="23">
        <v>44990</v>
      </c>
      <c r="N730" s="23">
        <v>44942</v>
      </c>
    </row>
    <row r="731" spans="1:15" ht="24" customHeight="1" thickTop="1" thickBot="1" x14ac:dyDescent="0.45">
      <c r="A731" s="40" t="s">
        <v>3585</v>
      </c>
      <c r="B731" s="3" t="s">
        <v>1260</v>
      </c>
      <c r="C731" s="3">
        <v>529</v>
      </c>
      <c r="D731" s="23">
        <v>35349</v>
      </c>
      <c r="E731" s="3" t="s">
        <v>1</v>
      </c>
      <c r="F731" s="3" t="s">
        <v>6</v>
      </c>
      <c r="G731" s="3">
        <v>8</v>
      </c>
      <c r="H731" s="3" t="s">
        <v>18</v>
      </c>
      <c r="M731" s="23">
        <v>44735</v>
      </c>
      <c r="N731" s="23">
        <v>44748</v>
      </c>
    </row>
    <row r="732" spans="1:15" ht="24" customHeight="1" thickTop="1" thickBot="1" x14ac:dyDescent="0.45">
      <c r="A732" s="40" t="s">
        <v>3586</v>
      </c>
      <c r="B732" s="3" t="s">
        <v>3587</v>
      </c>
      <c r="C732" s="3">
        <v>657</v>
      </c>
      <c r="D732" s="23">
        <v>35090</v>
      </c>
      <c r="E732" s="3" t="s">
        <v>1</v>
      </c>
      <c r="F732" s="3" t="s">
        <v>6</v>
      </c>
      <c r="G732" s="3">
        <v>8</v>
      </c>
      <c r="H732" s="3" t="s">
        <v>18</v>
      </c>
      <c r="L732" s="23">
        <v>45330</v>
      </c>
      <c r="M732" s="23">
        <v>45341</v>
      </c>
      <c r="N732" s="23">
        <v>45330</v>
      </c>
    </row>
    <row r="733" spans="1:15" ht="24" customHeight="1" thickTop="1" thickBot="1" x14ac:dyDescent="0.45">
      <c r="A733" s="40" t="s">
        <v>3588</v>
      </c>
      <c r="B733" s="3" t="s">
        <v>3589</v>
      </c>
      <c r="C733" s="3">
        <v>596</v>
      </c>
      <c r="D733" s="23" t="s">
        <v>3749</v>
      </c>
      <c r="E733" s="3" t="s">
        <v>1</v>
      </c>
      <c r="F733" s="3" t="s">
        <v>6</v>
      </c>
      <c r="G733" s="3">
        <v>8</v>
      </c>
      <c r="H733" s="3" t="s">
        <v>18</v>
      </c>
      <c r="L733" s="23">
        <v>44994</v>
      </c>
      <c r="M733" s="23">
        <v>45014</v>
      </c>
      <c r="N733" s="23">
        <v>44994</v>
      </c>
    </row>
    <row r="734" spans="1:15" ht="24" customHeight="1" thickTop="1" thickBot="1" x14ac:dyDescent="0.45">
      <c r="A734" s="40" t="s">
        <v>3590</v>
      </c>
      <c r="B734" s="3" t="s">
        <v>3591</v>
      </c>
      <c r="C734" s="3">
        <v>511</v>
      </c>
      <c r="D734" s="23" t="s">
        <v>3749</v>
      </c>
      <c r="E734" s="3" t="s">
        <v>1</v>
      </c>
      <c r="F734" s="3" t="s">
        <v>6</v>
      </c>
      <c r="G734" s="3">
        <v>8</v>
      </c>
      <c r="H734" s="3" t="s">
        <v>18</v>
      </c>
      <c r="L734" s="23">
        <v>44643</v>
      </c>
      <c r="M734" s="23">
        <v>44660</v>
      </c>
      <c r="N734" s="23">
        <v>44643</v>
      </c>
    </row>
    <row r="735" spans="1:15" ht="24" customHeight="1" thickTop="1" thickBot="1" x14ac:dyDescent="0.45">
      <c r="A735" s="40" t="s">
        <v>3592</v>
      </c>
      <c r="B735" s="3" t="s">
        <v>3593</v>
      </c>
      <c r="C735" s="3">
        <v>626</v>
      </c>
      <c r="D735" s="23" t="s">
        <v>3749</v>
      </c>
      <c r="E735" s="3" t="s">
        <v>1</v>
      </c>
      <c r="F735" s="3" t="s">
        <v>6</v>
      </c>
      <c r="G735" s="3">
        <v>8</v>
      </c>
      <c r="H735" s="3" t="s">
        <v>18</v>
      </c>
      <c r="K735" s="23" t="s">
        <v>1196</v>
      </c>
      <c r="L735" s="23">
        <v>45197</v>
      </c>
      <c r="M735" s="23">
        <v>45197</v>
      </c>
      <c r="N735" s="23">
        <v>45197</v>
      </c>
    </row>
    <row r="736" spans="1:15" ht="24" customHeight="1" thickTop="1" thickBot="1" x14ac:dyDescent="0.45">
      <c r="A736" s="40" t="s">
        <v>3594</v>
      </c>
      <c r="B736" s="3" t="s">
        <v>1598</v>
      </c>
      <c r="C736" s="3">
        <v>820</v>
      </c>
      <c r="D736" s="23">
        <v>34835</v>
      </c>
      <c r="E736" s="3" t="s">
        <v>1</v>
      </c>
      <c r="F736" s="3" t="s">
        <v>6</v>
      </c>
      <c r="G736" s="3">
        <v>8</v>
      </c>
      <c r="H736" s="3" t="s">
        <v>18</v>
      </c>
      <c r="K736" s="23" t="s">
        <v>1394</v>
      </c>
      <c r="M736" s="23">
        <v>46052</v>
      </c>
      <c r="N736" s="23">
        <v>46076</v>
      </c>
    </row>
    <row r="737" spans="1:15" ht="24" customHeight="1" thickTop="1" thickBot="1" x14ac:dyDescent="0.45">
      <c r="A737" s="40" t="s">
        <v>3595</v>
      </c>
      <c r="B737" s="3" t="s">
        <v>3596</v>
      </c>
      <c r="C737" s="3">
        <v>714</v>
      </c>
      <c r="D737" s="23">
        <v>38443</v>
      </c>
      <c r="E737" s="3" t="s">
        <v>1</v>
      </c>
      <c r="F737" s="3" t="s">
        <v>1238</v>
      </c>
      <c r="G737" s="3">
        <v>8</v>
      </c>
      <c r="H737" s="3" t="s">
        <v>18</v>
      </c>
      <c r="K737" s="23" t="s">
        <v>1000</v>
      </c>
      <c r="L737" s="23">
        <v>45534</v>
      </c>
      <c r="M737" s="23">
        <v>45544</v>
      </c>
      <c r="N737" s="23">
        <v>45573</v>
      </c>
      <c r="O737" s="23">
        <v>45650</v>
      </c>
    </row>
    <row r="738" spans="1:15" ht="24" customHeight="1" thickTop="1" thickBot="1" x14ac:dyDescent="0.45">
      <c r="A738" s="40" t="s">
        <v>3597</v>
      </c>
      <c r="B738" s="3" t="s">
        <v>3598</v>
      </c>
      <c r="C738" s="3">
        <v>800</v>
      </c>
      <c r="D738" s="23">
        <v>34893</v>
      </c>
      <c r="E738" s="3" t="s">
        <v>1</v>
      </c>
      <c r="F738" s="3" t="s">
        <v>1238</v>
      </c>
      <c r="G738" s="3">
        <v>8</v>
      </c>
      <c r="H738" s="3" t="s">
        <v>18</v>
      </c>
      <c r="K738" s="43" t="s">
        <v>3599</v>
      </c>
      <c r="L738" s="61">
        <v>45901</v>
      </c>
      <c r="M738" s="23">
        <v>45938</v>
      </c>
      <c r="N738" s="23">
        <v>45930</v>
      </c>
      <c r="O738" s="23">
        <v>46076</v>
      </c>
    </row>
    <row r="739" spans="1:15" ht="24" customHeight="1" thickTop="1" thickBot="1" x14ac:dyDescent="0.45">
      <c r="A739" s="40" t="s">
        <v>3600</v>
      </c>
      <c r="B739" s="3" t="s">
        <v>3601</v>
      </c>
      <c r="C739" s="3">
        <v>522</v>
      </c>
      <c r="D739" s="23">
        <v>34603</v>
      </c>
      <c r="E739" s="3" t="s">
        <v>1</v>
      </c>
      <c r="F739" s="3" t="s">
        <v>1238</v>
      </c>
      <c r="G739" s="3">
        <v>8</v>
      </c>
      <c r="H739" s="3" t="s">
        <v>18</v>
      </c>
      <c r="K739" s="23" t="s">
        <v>1195</v>
      </c>
      <c r="M739" s="23">
        <v>44721</v>
      </c>
      <c r="N739" s="23">
        <v>44728</v>
      </c>
      <c r="O739" s="23">
        <v>44728</v>
      </c>
    </row>
    <row r="740" spans="1:15" ht="24" customHeight="1" thickTop="1" thickBot="1" x14ac:dyDescent="0.45">
      <c r="A740" s="40" t="s">
        <v>3602</v>
      </c>
      <c r="B740" s="3" t="s">
        <v>3603</v>
      </c>
      <c r="C740" s="3">
        <v>779</v>
      </c>
      <c r="D740" s="23">
        <v>35164</v>
      </c>
      <c r="E740" s="3" t="s">
        <v>1</v>
      </c>
      <c r="F740" s="3" t="s">
        <v>1238</v>
      </c>
      <c r="G740" s="3">
        <v>8</v>
      </c>
      <c r="H740" s="3" t="s">
        <v>18</v>
      </c>
      <c r="K740" s="23" t="s">
        <v>3604</v>
      </c>
      <c r="L740" s="23">
        <v>45856</v>
      </c>
      <c r="M740" s="23">
        <v>45887</v>
      </c>
      <c r="N740" s="23">
        <v>45866</v>
      </c>
      <c r="O740" s="23">
        <v>45985</v>
      </c>
    </row>
    <row r="741" spans="1:15" ht="24" customHeight="1" thickTop="1" thickBot="1" x14ac:dyDescent="0.45">
      <c r="A741" s="40" t="s">
        <v>3605</v>
      </c>
      <c r="B741" s="3" t="s">
        <v>3606</v>
      </c>
      <c r="C741" s="3">
        <v>770</v>
      </c>
      <c r="D741" s="23">
        <v>38802</v>
      </c>
      <c r="E741" s="3" t="s">
        <v>1</v>
      </c>
      <c r="F741" s="3" t="s">
        <v>1238</v>
      </c>
      <c r="G741" s="3">
        <v>8</v>
      </c>
      <c r="H741" s="3" t="s">
        <v>18</v>
      </c>
      <c r="K741" s="23" t="s">
        <v>3607</v>
      </c>
      <c r="L741" s="23">
        <v>45838</v>
      </c>
      <c r="M741" s="23">
        <v>45869</v>
      </c>
      <c r="N741" s="23">
        <v>45856</v>
      </c>
      <c r="O741" s="23">
        <v>46053</v>
      </c>
    </row>
    <row r="742" spans="1:15" ht="24" customHeight="1" thickTop="1" thickBot="1" x14ac:dyDescent="0.45">
      <c r="A742" s="40" t="s">
        <v>3608</v>
      </c>
      <c r="B742" s="3" t="s">
        <v>3609</v>
      </c>
      <c r="C742" s="3">
        <v>793</v>
      </c>
      <c r="D742" s="23">
        <v>37596</v>
      </c>
      <c r="E742" s="3" t="s">
        <v>1</v>
      </c>
      <c r="F742" s="3" t="s">
        <v>1238</v>
      </c>
      <c r="G742" s="3">
        <v>8</v>
      </c>
      <c r="H742" s="3" t="s">
        <v>18</v>
      </c>
      <c r="K742" s="23" t="s">
        <v>32</v>
      </c>
      <c r="L742" s="23">
        <v>45877</v>
      </c>
      <c r="M742" s="23">
        <v>45914</v>
      </c>
      <c r="N742" s="23">
        <v>45897</v>
      </c>
      <c r="O742" s="23">
        <v>45930</v>
      </c>
    </row>
    <row r="743" spans="1:15" ht="24" customHeight="1" thickTop="1" thickBot="1" x14ac:dyDescent="0.45">
      <c r="A743" s="40" t="s">
        <v>3610</v>
      </c>
      <c r="B743" s="3" t="s">
        <v>3611</v>
      </c>
      <c r="C743" s="3">
        <v>804</v>
      </c>
      <c r="D743" s="23">
        <v>34122</v>
      </c>
      <c r="E743" s="3" t="s">
        <v>1</v>
      </c>
      <c r="F743" s="3" t="s">
        <v>1238</v>
      </c>
      <c r="G743" s="3">
        <v>8</v>
      </c>
      <c r="H743" s="3" t="s">
        <v>18</v>
      </c>
      <c r="K743" s="23" t="s">
        <v>1107</v>
      </c>
      <c r="L743" s="23">
        <v>44748</v>
      </c>
      <c r="M743" s="23">
        <v>45976</v>
      </c>
      <c r="N743" s="23">
        <v>44748</v>
      </c>
      <c r="O743" s="23">
        <v>45866</v>
      </c>
    </row>
    <row r="744" spans="1:15" ht="24" customHeight="1" thickTop="1" thickBot="1" x14ac:dyDescent="0.45">
      <c r="A744" s="40" t="s">
        <v>3612</v>
      </c>
      <c r="B744" s="3" t="s">
        <v>3613</v>
      </c>
      <c r="C744" s="3">
        <v>6062</v>
      </c>
      <c r="D744" s="23">
        <v>36195</v>
      </c>
      <c r="E744" s="3" t="s">
        <v>1</v>
      </c>
      <c r="F744" s="3" t="s">
        <v>1238</v>
      </c>
      <c r="G744" s="3">
        <v>8</v>
      </c>
      <c r="H744" s="3" t="s">
        <v>18</v>
      </c>
      <c r="K744" s="23" t="s">
        <v>3604</v>
      </c>
      <c r="L744" s="23">
        <v>45856</v>
      </c>
      <c r="M744" s="23">
        <v>45888</v>
      </c>
      <c r="N744" s="23">
        <v>45866</v>
      </c>
      <c r="O744" s="23">
        <v>46053</v>
      </c>
    </row>
    <row r="745" spans="1:15" ht="24" customHeight="1" thickTop="1" thickBot="1" x14ac:dyDescent="0.45">
      <c r="A745" s="40" t="s">
        <v>3614</v>
      </c>
      <c r="B745" s="3">
        <v>325959</v>
      </c>
      <c r="C745" s="3">
        <v>787</v>
      </c>
      <c r="D745" s="23">
        <v>37713</v>
      </c>
      <c r="E745" s="3" t="s">
        <v>1</v>
      </c>
      <c r="F745" s="3" t="s">
        <v>1238</v>
      </c>
      <c r="G745" s="3">
        <v>8</v>
      </c>
      <c r="H745" s="3" t="s">
        <v>18</v>
      </c>
      <c r="K745" s="23" t="s">
        <v>3</v>
      </c>
      <c r="L745" s="23">
        <v>45881</v>
      </c>
      <c r="M745" s="23">
        <v>45900</v>
      </c>
      <c r="N745" s="23">
        <v>45897</v>
      </c>
      <c r="O745" s="23">
        <v>45930</v>
      </c>
    </row>
    <row r="746" spans="1:15" ht="24" customHeight="1" thickTop="1" thickBot="1" x14ac:dyDescent="0.45">
      <c r="A746" s="40" t="s">
        <v>3615</v>
      </c>
      <c r="B746" s="3" t="s">
        <v>3616</v>
      </c>
      <c r="C746" s="3">
        <v>600</v>
      </c>
      <c r="D746" s="23" t="s">
        <v>3749</v>
      </c>
      <c r="E746" s="3" t="s">
        <v>1</v>
      </c>
      <c r="F746" s="3" t="s">
        <v>1238</v>
      </c>
      <c r="G746" s="3">
        <v>8</v>
      </c>
      <c r="H746" s="3" t="s">
        <v>18</v>
      </c>
      <c r="L746" s="23">
        <v>45012</v>
      </c>
      <c r="M746" s="23">
        <v>45064</v>
      </c>
      <c r="N746" s="23">
        <v>45012</v>
      </c>
    </row>
    <row r="747" spans="1:15" ht="24" customHeight="1" thickTop="1" thickBot="1" x14ac:dyDescent="0.45">
      <c r="A747" s="40" t="s">
        <v>3617</v>
      </c>
      <c r="B747" s="3" t="s">
        <v>3618</v>
      </c>
      <c r="C747" s="3">
        <v>702</v>
      </c>
      <c r="D747" s="23" t="s">
        <v>3749</v>
      </c>
      <c r="E747" s="3" t="s">
        <v>1</v>
      </c>
      <c r="F747" s="3" t="s">
        <v>1238</v>
      </c>
      <c r="G747" s="3">
        <v>8</v>
      </c>
      <c r="H747" s="3" t="s">
        <v>18</v>
      </c>
      <c r="L747" s="23">
        <v>45474</v>
      </c>
      <c r="M747" s="23">
        <v>45504</v>
      </c>
      <c r="N747" s="23">
        <v>45474</v>
      </c>
    </row>
    <row r="748" spans="1:15" ht="24" customHeight="1" thickTop="1" thickBot="1" x14ac:dyDescent="0.45">
      <c r="A748" s="40" t="s">
        <v>3619</v>
      </c>
      <c r="B748" s="3" t="s">
        <v>3620</v>
      </c>
      <c r="C748" s="3">
        <v>701</v>
      </c>
      <c r="D748" s="23" t="s">
        <v>3749</v>
      </c>
      <c r="E748" s="3" t="s">
        <v>1</v>
      </c>
      <c r="F748" s="3" t="s">
        <v>1238</v>
      </c>
      <c r="G748" s="3">
        <v>8</v>
      </c>
      <c r="H748" s="3" t="s">
        <v>18</v>
      </c>
      <c r="L748" s="23">
        <v>45474</v>
      </c>
      <c r="M748" s="23">
        <v>45503</v>
      </c>
      <c r="N748" s="23">
        <v>45474</v>
      </c>
    </row>
    <row r="749" spans="1:15" ht="24" customHeight="1" thickTop="1" thickBot="1" x14ac:dyDescent="0.45">
      <c r="A749" s="40" t="s">
        <v>3621</v>
      </c>
      <c r="B749" s="3" t="s">
        <v>3622</v>
      </c>
      <c r="C749" s="3">
        <v>727</v>
      </c>
      <c r="D749" s="23">
        <v>37634</v>
      </c>
      <c r="E749" s="3" t="s">
        <v>1</v>
      </c>
      <c r="F749" s="3" t="s">
        <v>1238</v>
      </c>
      <c r="G749" s="3">
        <v>8</v>
      </c>
      <c r="H749" s="3" t="s">
        <v>18</v>
      </c>
      <c r="K749" s="23" t="s">
        <v>19</v>
      </c>
      <c r="L749" s="23">
        <v>45573</v>
      </c>
      <c r="M749" s="23">
        <v>45598</v>
      </c>
      <c r="N749" s="23">
        <v>45599</v>
      </c>
      <c r="O749" s="23">
        <v>45669</v>
      </c>
    </row>
    <row r="750" spans="1:15" ht="24" customHeight="1" thickTop="1" thickBot="1" x14ac:dyDescent="0.45">
      <c r="A750" s="40" t="s">
        <v>3623</v>
      </c>
      <c r="B750" s="3" t="s">
        <v>3624</v>
      </c>
      <c r="C750" s="3">
        <v>781</v>
      </c>
      <c r="D750" s="23">
        <v>37341</v>
      </c>
      <c r="E750" s="3" t="s">
        <v>1</v>
      </c>
      <c r="F750" s="3" t="s">
        <v>1238</v>
      </c>
      <c r="G750" s="3">
        <v>8</v>
      </c>
      <c r="H750" s="3" t="s">
        <v>18</v>
      </c>
      <c r="K750" s="23" t="s">
        <v>29</v>
      </c>
      <c r="L750" s="23">
        <v>45869</v>
      </c>
      <c r="M750" s="23">
        <v>45888</v>
      </c>
      <c r="N750" s="23">
        <v>45897</v>
      </c>
      <c r="O750" s="23">
        <v>45930</v>
      </c>
    </row>
    <row r="751" spans="1:15" ht="24" customHeight="1" thickTop="1" thickBot="1" x14ac:dyDescent="0.45">
      <c r="A751" s="40" t="s">
        <v>3625</v>
      </c>
      <c r="B751" s="3" t="s">
        <v>3626</v>
      </c>
      <c r="C751" s="3">
        <v>690</v>
      </c>
      <c r="D751" s="23">
        <v>37145</v>
      </c>
      <c r="E751" s="3" t="s">
        <v>1</v>
      </c>
      <c r="F751" s="3" t="s">
        <v>1238</v>
      </c>
      <c r="G751" s="3">
        <v>8</v>
      </c>
      <c r="H751" s="3" t="s">
        <v>18</v>
      </c>
      <c r="L751" s="23">
        <v>45272</v>
      </c>
      <c r="M751" s="23">
        <v>45458</v>
      </c>
      <c r="N751" s="23">
        <v>45272</v>
      </c>
    </row>
    <row r="752" spans="1:15" ht="24" customHeight="1" thickTop="1" thickBot="1" x14ac:dyDescent="0.45">
      <c r="A752" s="40" t="s">
        <v>3627</v>
      </c>
      <c r="B752" s="3" t="s">
        <v>3628</v>
      </c>
      <c r="C752" s="3">
        <v>692</v>
      </c>
      <c r="D752" s="23">
        <v>37074</v>
      </c>
      <c r="E752" s="3" t="s">
        <v>1</v>
      </c>
      <c r="F752" s="3" t="s">
        <v>1238</v>
      </c>
      <c r="G752" s="3">
        <v>8</v>
      </c>
      <c r="H752" s="3" t="s">
        <v>18</v>
      </c>
      <c r="K752" s="23" t="s">
        <v>29</v>
      </c>
      <c r="L752" s="23">
        <v>45427</v>
      </c>
      <c r="M752" s="23">
        <v>45468</v>
      </c>
      <c r="N752" s="23">
        <v>45427</v>
      </c>
    </row>
    <row r="753" spans="1:15" ht="24" customHeight="1" thickTop="1" thickBot="1" x14ac:dyDescent="0.45">
      <c r="A753" s="40" t="s">
        <v>3629</v>
      </c>
      <c r="B753" s="3" t="s">
        <v>3630</v>
      </c>
      <c r="C753" s="3">
        <v>604</v>
      </c>
      <c r="D753" s="23">
        <v>36822</v>
      </c>
      <c r="E753" s="3" t="s">
        <v>1</v>
      </c>
      <c r="F753" s="3" t="s">
        <v>1238</v>
      </c>
      <c r="G753" s="3">
        <v>8</v>
      </c>
      <c r="H753" s="3" t="s">
        <v>18</v>
      </c>
      <c r="L753" s="23">
        <v>45070</v>
      </c>
      <c r="M753" s="23">
        <v>45099</v>
      </c>
      <c r="N753" s="23">
        <v>45070</v>
      </c>
    </row>
    <row r="754" spans="1:15" ht="24" customHeight="1" thickTop="1" thickBot="1" x14ac:dyDescent="0.45">
      <c r="A754" s="40" t="s">
        <v>3631</v>
      </c>
      <c r="B754" s="3" t="s">
        <v>3632</v>
      </c>
      <c r="C754" s="3">
        <v>738</v>
      </c>
      <c r="D754" s="23">
        <v>36594</v>
      </c>
      <c r="E754" s="3" t="s">
        <v>1</v>
      </c>
      <c r="F754" s="3" t="s">
        <v>1238</v>
      </c>
      <c r="G754" s="3">
        <v>8</v>
      </c>
      <c r="H754" s="3" t="s">
        <v>18</v>
      </c>
      <c r="K754" s="23" t="s">
        <v>29</v>
      </c>
      <c r="L754" s="23">
        <v>45662</v>
      </c>
      <c r="M754" s="23">
        <v>45699</v>
      </c>
      <c r="N754" s="23">
        <v>45669</v>
      </c>
      <c r="O754" s="23">
        <v>45739</v>
      </c>
    </row>
    <row r="755" spans="1:15" ht="24" customHeight="1" thickTop="1" thickBot="1" x14ac:dyDescent="0.45">
      <c r="A755" s="40" t="s">
        <v>3633</v>
      </c>
      <c r="B755" s="3" t="s">
        <v>3634</v>
      </c>
      <c r="C755" s="3">
        <v>739</v>
      </c>
      <c r="D755" s="23">
        <v>35140</v>
      </c>
      <c r="E755" s="3" t="s">
        <v>1</v>
      </c>
      <c r="F755" s="3" t="s">
        <v>1238</v>
      </c>
      <c r="G755" s="3">
        <v>8</v>
      </c>
      <c r="H755" s="3" t="s">
        <v>18</v>
      </c>
      <c r="L755" s="23">
        <v>45691</v>
      </c>
      <c r="M755" s="23">
        <v>45710</v>
      </c>
      <c r="N755" s="23">
        <v>45712</v>
      </c>
      <c r="O755" s="23">
        <v>45832</v>
      </c>
    </row>
    <row r="756" spans="1:15" ht="24" customHeight="1" thickTop="1" thickBot="1" x14ac:dyDescent="0.45">
      <c r="A756" s="40" t="s">
        <v>3635</v>
      </c>
      <c r="B756" s="3" t="s">
        <v>3636</v>
      </c>
      <c r="C756" s="3">
        <v>735</v>
      </c>
      <c r="D756" s="23">
        <v>34432</v>
      </c>
      <c r="E756" s="3" t="s">
        <v>1</v>
      </c>
      <c r="F756" s="3" t="s">
        <v>1238</v>
      </c>
      <c r="G756" s="3">
        <v>8</v>
      </c>
      <c r="H756" s="3" t="s">
        <v>18</v>
      </c>
      <c r="L756" s="23">
        <v>45636</v>
      </c>
      <c r="M756" s="23">
        <v>45689</v>
      </c>
      <c r="N756" s="23">
        <v>45650</v>
      </c>
      <c r="O756" s="23">
        <v>45760</v>
      </c>
    </row>
    <row r="757" spans="1:15" ht="24" customHeight="1" thickTop="1" thickBot="1" x14ac:dyDescent="0.45">
      <c r="A757" s="40" t="s">
        <v>3637</v>
      </c>
      <c r="B757" s="3" t="s">
        <v>3638</v>
      </c>
      <c r="C757" s="3">
        <v>747</v>
      </c>
      <c r="D757" s="23">
        <v>33215</v>
      </c>
      <c r="E757" s="3" t="s">
        <v>1</v>
      </c>
      <c r="F757" s="3" t="s">
        <v>1238</v>
      </c>
      <c r="G757" s="3">
        <v>8</v>
      </c>
      <c r="H757" s="3" t="s">
        <v>18</v>
      </c>
      <c r="L757" s="23">
        <v>45710</v>
      </c>
      <c r="M757" s="23">
        <v>45756</v>
      </c>
      <c r="N757" s="23">
        <v>45739</v>
      </c>
      <c r="O757" s="23">
        <v>45760</v>
      </c>
    </row>
    <row r="758" spans="1:15" ht="24" customHeight="1" thickTop="1" thickBot="1" x14ac:dyDescent="0.45">
      <c r="A758" s="40" t="s">
        <v>3639</v>
      </c>
      <c r="B758" s="3" t="s">
        <v>3640</v>
      </c>
      <c r="C758" s="3">
        <v>740</v>
      </c>
      <c r="D758" s="23">
        <v>32844</v>
      </c>
      <c r="E758" s="3" t="s">
        <v>1</v>
      </c>
      <c r="F758" s="3" t="s">
        <v>1238</v>
      </c>
      <c r="G758" s="3">
        <v>8</v>
      </c>
      <c r="H758" s="3" t="s">
        <v>18</v>
      </c>
      <c r="L758" s="23">
        <v>45702</v>
      </c>
      <c r="M758" s="23">
        <v>45712</v>
      </c>
      <c r="N758" s="23">
        <v>45712</v>
      </c>
      <c r="O758" s="23">
        <v>45930</v>
      </c>
    </row>
    <row r="759" spans="1:15" ht="24" customHeight="1" thickTop="1" thickBot="1" x14ac:dyDescent="0.45">
      <c r="A759" s="40" t="s">
        <v>3641</v>
      </c>
      <c r="B759" s="3" t="s">
        <v>3642</v>
      </c>
      <c r="C759" s="3">
        <v>394</v>
      </c>
      <c r="D759" s="23">
        <v>33897</v>
      </c>
      <c r="E759" s="3" t="s">
        <v>1</v>
      </c>
      <c r="F759" s="3" t="s">
        <v>1238</v>
      </c>
      <c r="G759" s="3">
        <v>8</v>
      </c>
      <c r="H759" s="3" t="s">
        <v>18</v>
      </c>
      <c r="K759" s="23" t="s">
        <v>3643</v>
      </c>
      <c r="L759" s="23">
        <v>45897</v>
      </c>
      <c r="M759" s="23">
        <v>44374</v>
      </c>
      <c r="N759" s="23">
        <v>44414</v>
      </c>
      <c r="O759" s="23">
        <v>46053</v>
      </c>
    </row>
    <row r="760" spans="1:15" ht="24" customHeight="1" thickTop="1" thickBot="1" x14ac:dyDescent="0.45">
      <c r="A760" s="40" t="s">
        <v>3644</v>
      </c>
      <c r="B760" s="3" t="s">
        <v>3645</v>
      </c>
      <c r="C760" s="3">
        <v>753</v>
      </c>
      <c r="D760" s="23">
        <v>36500</v>
      </c>
      <c r="E760" s="3" t="s">
        <v>1</v>
      </c>
      <c r="F760" s="3" t="s">
        <v>1238</v>
      </c>
      <c r="G760" s="3">
        <v>8</v>
      </c>
      <c r="H760" s="3" t="s">
        <v>18</v>
      </c>
      <c r="K760" s="23" t="s">
        <v>3646</v>
      </c>
      <c r="L760" s="23">
        <v>45789</v>
      </c>
      <c r="M760" s="23">
        <v>45818</v>
      </c>
      <c r="N760" s="23">
        <v>45802</v>
      </c>
      <c r="O760" s="23">
        <v>45897</v>
      </c>
    </row>
    <row r="761" spans="1:15" ht="24" customHeight="1" thickTop="1" thickBot="1" x14ac:dyDescent="0.45">
      <c r="A761" s="40" t="s">
        <v>3647</v>
      </c>
      <c r="B761" s="3" t="s">
        <v>3648</v>
      </c>
      <c r="C761" s="3">
        <v>466</v>
      </c>
      <c r="D761" s="23" t="s">
        <v>3749</v>
      </c>
      <c r="E761" s="3" t="s">
        <v>1</v>
      </c>
      <c r="F761" s="3" t="s">
        <v>1238</v>
      </c>
      <c r="G761" s="3">
        <v>8</v>
      </c>
      <c r="H761" s="3" t="s">
        <v>18</v>
      </c>
      <c r="M761" s="23">
        <v>44565</v>
      </c>
      <c r="N761" s="23">
        <v>44581</v>
      </c>
    </row>
    <row r="762" spans="1:15" ht="24" customHeight="1" thickTop="1" thickBot="1" x14ac:dyDescent="0.45">
      <c r="A762" s="40" t="s">
        <v>3649</v>
      </c>
      <c r="B762" s="3" t="s">
        <v>3650</v>
      </c>
      <c r="C762" s="3">
        <v>612</v>
      </c>
      <c r="D762" s="23" t="s">
        <v>3749</v>
      </c>
      <c r="E762" s="3" t="s">
        <v>1</v>
      </c>
      <c r="F762" s="3" t="s">
        <v>1238</v>
      </c>
      <c r="G762" s="3">
        <v>8</v>
      </c>
      <c r="H762" s="3" t="s">
        <v>18</v>
      </c>
      <c r="L762" s="23">
        <v>45151</v>
      </c>
      <c r="M762" s="23">
        <v>45163</v>
      </c>
      <c r="N762" s="23">
        <v>45151</v>
      </c>
    </row>
    <row r="763" spans="1:15" ht="24" customHeight="1" thickTop="1" thickBot="1" x14ac:dyDescent="0.45">
      <c r="A763" s="40" t="s">
        <v>3651</v>
      </c>
      <c r="B763" s="3" t="s">
        <v>3652</v>
      </c>
      <c r="C763" s="3">
        <v>539</v>
      </c>
      <c r="D763" s="23" t="s">
        <v>3749</v>
      </c>
      <c r="E763" s="3" t="s">
        <v>1</v>
      </c>
      <c r="F763" s="3" t="s">
        <v>1238</v>
      </c>
      <c r="G763" s="3">
        <v>8</v>
      </c>
      <c r="H763" s="3" t="s">
        <v>18</v>
      </c>
      <c r="M763" s="23">
        <v>44759</v>
      </c>
      <c r="N763" s="23">
        <v>44769</v>
      </c>
    </row>
    <row r="764" spans="1:15" ht="24" customHeight="1" thickTop="1" thickBot="1" x14ac:dyDescent="0.45">
      <c r="A764" s="40" t="s">
        <v>3653</v>
      </c>
      <c r="B764" s="3" t="s">
        <v>3654</v>
      </c>
      <c r="C764" s="3">
        <v>659</v>
      </c>
      <c r="D764" s="23" t="s">
        <v>3749</v>
      </c>
      <c r="E764" s="3" t="s">
        <v>1</v>
      </c>
      <c r="F764" s="3" t="s">
        <v>1238</v>
      </c>
      <c r="G764" s="3">
        <v>8</v>
      </c>
      <c r="H764" s="3" t="s">
        <v>18</v>
      </c>
      <c r="K764" s="23" t="s">
        <v>1212</v>
      </c>
      <c r="L764" s="23">
        <v>45330</v>
      </c>
      <c r="M764" s="23">
        <v>45347</v>
      </c>
      <c r="N764" s="23">
        <v>45330</v>
      </c>
    </row>
    <row r="765" spans="1:15" ht="24" customHeight="1" thickTop="1" thickBot="1" x14ac:dyDescent="0.45">
      <c r="A765" s="40" t="s">
        <v>3655</v>
      </c>
      <c r="B765" s="3" t="s">
        <v>3656</v>
      </c>
      <c r="C765" s="3">
        <v>584</v>
      </c>
      <c r="D765" s="23" t="s">
        <v>3749</v>
      </c>
      <c r="E765" s="3" t="s">
        <v>1</v>
      </c>
      <c r="F765" s="3" t="s">
        <v>1238</v>
      </c>
      <c r="G765" s="3">
        <v>8</v>
      </c>
      <c r="H765" s="3" t="s">
        <v>18</v>
      </c>
      <c r="L765" s="23">
        <v>44958</v>
      </c>
      <c r="M765" s="23">
        <v>44958</v>
      </c>
      <c r="N765" s="23">
        <v>44958</v>
      </c>
    </row>
    <row r="766" spans="1:15" ht="24" customHeight="1" thickTop="1" thickBot="1" x14ac:dyDescent="0.45">
      <c r="A766" s="40" t="s">
        <v>3657</v>
      </c>
      <c r="B766" s="3" t="s">
        <v>3658</v>
      </c>
      <c r="C766" s="3">
        <v>614</v>
      </c>
      <c r="D766" s="23" t="s">
        <v>3749</v>
      </c>
      <c r="E766" s="3" t="s">
        <v>1</v>
      </c>
      <c r="F766" s="3" t="s">
        <v>1238</v>
      </c>
      <c r="G766" s="3">
        <v>8</v>
      </c>
      <c r="H766" s="3" t="s">
        <v>18</v>
      </c>
      <c r="L766" s="23">
        <v>45151</v>
      </c>
      <c r="M766" s="23">
        <v>45176</v>
      </c>
      <c r="N766" s="23">
        <v>45151</v>
      </c>
    </row>
    <row r="767" spans="1:15" ht="24" customHeight="1" thickTop="1" thickBot="1" x14ac:dyDescent="0.45">
      <c r="A767" s="40" t="s">
        <v>3659</v>
      </c>
      <c r="B767" s="3" t="s">
        <v>3660</v>
      </c>
      <c r="C767" s="3">
        <v>393</v>
      </c>
      <c r="D767" s="23" t="s">
        <v>3749</v>
      </c>
      <c r="E767" s="3" t="s">
        <v>1</v>
      </c>
      <c r="F767" s="3" t="s">
        <v>1238</v>
      </c>
      <c r="G767" s="3">
        <v>8</v>
      </c>
      <c r="H767" s="3" t="s">
        <v>18</v>
      </c>
      <c r="K767" s="23" t="s">
        <v>1116</v>
      </c>
      <c r="M767" s="23">
        <v>44374</v>
      </c>
    </row>
    <row r="768" spans="1:15" ht="24" customHeight="1" thickTop="1" thickBot="1" x14ac:dyDescent="0.45">
      <c r="A768" s="40" t="s">
        <v>3661</v>
      </c>
      <c r="B768" s="3" t="s">
        <v>3662</v>
      </c>
      <c r="C768" s="3">
        <v>419</v>
      </c>
      <c r="D768" s="23">
        <v>36792</v>
      </c>
      <c r="E768" s="3" t="s">
        <v>1</v>
      </c>
      <c r="F768" s="3" t="s">
        <v>1238</v>
      </c>
      <c r="G768" s="3">
        <v>8</v>
      </c>
      <c r="H768" s="3" t="s">
        <v>18</v>
      </c>
      <c r="K768" s="23" t="s">
        <v>1166</v>
      </c>
      <c r="M768" s="23">
        <v>44451</v>
      </c>
      <c r="N768" s="23">
        <v>44452</v>
      </c>
    </row>
    <row r="769" spans="1:15" ht="24" customHeight="1" thickTop="1" thickBot="1" x14ac:dyDescent="0.45">
      <c r="A769" s="40" t="s">
        <v>3663</v>
      </c>
      <c r="B769" s="3" t="s">
        <v>3664</v>
      </c>
      <c r="C769" s="3">
        <v>423</v>
      </c>
      <c r="D769" s="23">
        <v>33446</v>
      </c>
      <c r="E769" s="3" t="s">
        <v>1</v>
      </c>
      <c r="F769" s="3" t="s">
        <v>1238</v>
      </c>
      <c r="G769" s="3">
        <v>8</v>
      </c>
      <c r="H769" s="3" t="s">
        <v>18</v>
      </c>
      <c r="K769" s="23" t="s">
        <v>1165</v>
      </c>
      <c r="M769" s="23">
        <v>44472</v>
      </c>
      <c r="N769" s="23">
        <v>44474</v>
      </c>
    </row>
    <row r="770" spans="1:15" ht="24" customHeight="1" thickTop="1" thickBot="1" x14ac:dyDescent="0.45">
      <c r="A770" s="40" t="s">
        <v>3665</v>
      </c>
      <c r="B770" s="3">
        <v>1425333</v>
      </c>
      <c r="C770" s="3">
        <v>479</v>
      </c>
      <c r="D770" s="23" t="s">
        <v>3749</v>
      </c>
      <c r="E770" s="3" t="s">
        <v>1</v>
      </c>
      <c r="F770" s="3" t="s">
        <v>1238</v>
      </c>
      <c r="G770" s="3">
        <v>8</v>
      </c>
      <c r="H770" s="3" t="s">
        <v>18</v>
      </c>
      <c r="M770" s="23">
        <v>44606</v>
      </c>
      <c r="N770" s="23">
        <v>44612</v>
      </c>
    </row>
    <row r="771" spans="1:15" ht="24" customHeight="1" thickTop="1" thickBot="1" x14ac:dyDescent="0.45">
      <c r="A771" s="40" t="s">
        <v>3666</v>
      </c>
      <c r="B771" s="3" t="s">
        <v>3667</v>
      </c>
      <c r="C771" s="3">
        <v>405</v>
      </c>
      <c r="D771" s="23" t="s">
        <v>3749</v>
      </c>
      <c r="E771" s="3" t="s">
        <v>1</v>
      </c>
      <c r="F771" s="3" t="s">
        <v>1238</v>
      </c>
      <c r="G771" s="3">
        <v>8</v>
      </c>
      <c r="H771" s="3" t="s">
        <v>18</v>
      </c>
      <c r="M771" s="23">
        <v>44409</v>
      </c>
    </row>
    <row r="772" spans="1:15" ht="24" customHeight="1" thickTop="1" thickBot="1" x14ac:dyDescent="0.45">
      <c r="A772" s="40" t="s">
        <v>3668</v>
      </c>
      <c r="B772" s="3" t="s">
        <v>3669</v>
      </c>
      <c r="C772" s="3">
        <v>639</v>
      </c>
      <c r="D772" s="23" t="s">
        <v>3749</v>
      </c>
      <c r="E772" s="3" t="s">
        <v>1</v>
      </c>
      <c r="F772" s="3" t="s">
        <v>1238</v>
      </c>
      <c r="G772" s="3">
        <v>8</v>
      </c>
      <c r="H772" s="3" t="s">
        <v>18</v>
      </c>
      <c r="L772" s="23">
        <v>45180</v>
      </c>
      <c r="M772" s="23">
        <v>45221</v>
      </c>
      <c r="N772" s="23">
        <v>45180</v>
      </c>
    </row>
    <row r="773" spans="1:15" ht="24" customHeight="1" thickTop="1" thickBot="1" x14ac:dyDescent="0.45">
      <c r="A773" s="40" t="s">
        <v>3670</v>
      </c>
      <c r="B773" s="3" t="s">
        <v>3671</v>
      </c>
      <c r="C773" s="3">
        <v>357</v>
      </c>
      <c r="D773" s="23" t="s">
        <v>3749</v>
      </c>
      <c r="E773" s="3" t="s">
        <v>1</v>
      </c>
      <c r="F773" s="3" t="s">
        <v>1238</v>
      </c>
      <c r="G773" s="3">
        <v>8</v>
      </c>
      <c r="H773" s="3" t="s">
        <v>18</v>
      </c>
      <c r="M773" s="23">
        <v>44329</v>
      </c>
    </row>
    <row r="774" spans="1:15" ht="24" customHeight="1" thickTop="1" thickBot="1" x14ac:dyDescent="0.45">
      <c r="A774" s="40" t="s">
        <v>3672</v>
      </c>
      <c r="B774" s="3" t="s">
        <v>3673</v>
      </c>
      <c r="C774" s="3">
        <v>496</v>
      </c>
      <c r="D774" s="23">
        <v>35006</v>
      </c>
      <c r="E774" s="3" t="s">
        <v>1</v>
      </c>
      <c r="F774" s="3" t="s">
        <v>1238</v>
      </c>
      <c r="G774" s="3">
        <v>8</v>
      </c>
      <c r="H774" s="3" t="s">
        <v>18</v>
      </c>
      <c r="M774" s="23">
        <v>44632</v>
      </c>
      <c r="N774" s="23">
        <v>44634</v>
      </c>
    </row>
    <row r="775" spans="1:15" ht="24" customHeight="1" thickTop="1" thickBot="1" x14ac:dyDescent="0.45">
      <c r="A775" s="40" t="s">
        <v>3674</v>
      </c>
      <c r="B775" s="3" t="s">
        <v>3675</v>
      </c>
      <c r="C775" s="3">
        <v>644</v>
      </c>
      <c r="D775" s="23" t="s">
        <v>3749</v>
      </c>
      <c r="E775" s="3" t="s">
        <v>1</v>
      </c>
      <c r="F775" s="3" t="s">
        <v>1238</v>
      </c>
      <c r="G775" s="3">
        <v>8</v>
      </c>
      <c r="H775" s="3" t="s">
        <v>18</v>
      </c>
      <c r="K775" s="23" t="s">
        <v>1208</v>
      </c>
      <c r="L775" s="23">
        <v>45215</v>
      </c>
      <c r="M775" s="23">
        <v>45231</v>
      </c>
      <c r="N775" s="23">
        <v>45215</v>
      </c>
    </row>
    <row r="776" spans="1:15" ht="24" customHeight="1" thickTop="1" thickBot="1" x14ac:dyDescent="0.45">
      <c r="A776" s="40" t="s">
        <v>3676</v>
      </c>
      <c r="B776" s="3" t="s">
        <v>3677</v>
      </c>
      <c r="C776" s="3">
        <v>503</v>
      </c>
      <c r="D776" s="23">
        <v>31820</v>
      </c>
      <c r="E776" s="3" t="s">
        <v>1</v>
      </c>
      <c r="F776" s="3" t="s">
        <v>1238</v>
      </c>
      <c r="G776" s="3">
        <v>8</v>
      </c>
      <c r="H776" s="3" t="s">
        <v>18</v>
      </c>
      <c r="L776" s="23">
        <v>44599</v>
      </c>
      <c r="M776" s="23">
        <v>44640</v>
      </c>
      <c r="N776" s="23">
        <v>44599</v>
      </c>
    </row>
    <row r="777" spans="1:15" ht="24" customHeight="1" thickTop="1" thickBot="1" x14ac:dyDescent="0.45">
      <c r="A777" s="40" t="s">
        <v>3678</v>
      </c>
      <c r="B777" s="3" t="s">
        <v>3679</v>
      </c>
      <c r="C777" s="3">
        <v>572</v>
      </c>
      <c r="D777" s="23" t="s">
        <v>3749</v>
      </c>
      <c r="E777" s="3" t="s">
        <v>1</v>
      </c>
      <c r="F777" s="3" t="s">
        <v>1238</v>
      </c>
      <c r="G777" s="3">
        <v>8</v>
      </c>
      <c r="H777" s="3" t="s">
        <v>18</v>
      </c>
      <c r="M777" s="23">
        <v>44953</v>
      </c>
      <c r="N777" s="23">
        <v>44958</v>
      </c>
    </row>
    <row r="778" spans="1:15" ht="24" customHeight="1" thickTop="1" thickBot="1" x14ac:dyDescent="0.45">
      <c r="A778" s="40" t="s">
        <v>3680</v>
      </c>
      <c r="B778" s="3" t="s">
        <v>3681</v>
      </c>
      <c r="C778" s="3">
        <v>599</v>
      </c>
      <c r="D778" s="23" t="s">
        <v>3749</v>
      </c>
      <c r="E778" s="3" t="s">
        <v>1</v>
      </c>
      <c r="F778" s="3" t="s">
        <v>1238</v>
      </c>
      <c r="G778" s="3">
        <v>8</v>
      </c>
      <c r="H778" s="3" t="s">
        <v>18</v>
      </c>
      <c r="L778" s="23">
        <v>45049</v>
      </c>
      <c r="M778" s="23">
        <v>45061</v>
      </c>
      <c r="N778" s="23">
        <v>45049</v>
      </c>
    </row>
    <row r="779" spans="1:15" ht="24" customHeight="1" thickTop="1" thickBot="1" x14ac:dyDescent="0.45">
      <c r="A779" s="40" t="s">
        <v>3682</v>
      </c>
      <c r="B779" s="3" t="s">
        <v>3683</v>
      </c>
      <c r="C779" s="3">
        <v>615</v>
      </c>
      <c r="D779" s="23" t="s">
        <v>3749</v>
      </c>
      <c r="E779" s="3" t="s">
        <v>1</v>
      </c>
      <c r="F779" s="3" t="s">
        <v>1238</v>
      </c>
      <c r="G779" s="3">
        <v>8</v>
      </c>
      <c r="H779" s="3" t="s">
        <v>18</v>
      </c>
      <c r="M779" s="23">
        <v>45180</v>
      </c>
    </row>
    <row r="780" spans="1:15" ht="24" customHeight="1" thickTop="1" thickBot="1" x14ac:dyDescent="0.45">
      <c r="A780" s="40" t="s">
        <v>3684</v>
      </c>
      <c r="B780" s="3" t="s">
        <v>3685</v>
      </c>
      <c r="C780" s="3">
        <v>550</v>
      </c>
      <c r="D780" s="23">
        <v>36944</v>
      </c>
      <c r="E780" s="3" t="s">
        <v>1</v>
      </c>
      <c r="F780" s="3" t="s">
        <v>1238</v>
      </c>
      <c r="G780" s="3">
        <v>8</v>
      </c>
      <c r="H780" s="3" t="s">
        <v>18</v>
      </c>
      <c r="K780" s="23" t="s">
        <v>29</v>
      </c>
      <c r="L780" s="23">
        <v>44769</v>
      </c>
      <c r="M780" s="23">
        <v>44790</v>
      </c>
      <c r="N780" s="23">
        <v>44769</v>
      </c>
    </row>
    <row r="781" spans="1:15" ht="24" customHeight="1" thickTop="1" thickBot="1" x14ac:dyDescent="0.45">
      <c r="A781" s="40" t="s">
        <v>3686</v>
      </c>
      <c r="B781" s="3" t="s">
        <v>3687</v>
      </c>
      <c r="C781" s="3">
        <v>642</v>
      </c>
      <c r="D781" s="23" t="s">
        <v>3749</v>
      </c>
      <c r="E781" s="3" t="s">
        <v>1</v>
      </c>
      <c r="F781" s="3" t="s">
        <v>1238</v>
      </c>
      <c r="G781" s="3">
        <v>8</v>
      </c>
      <c r="H781" s="3" t="s">
        <v>18</v>
      </c>
      <c r="L781" s="23">
        <v>45215</v>
      </c>
      <c r="M781" s="23">
        <v>45227</v>
      </c>
      <c r="N781" s="23">
        <v>45215</v>
      </c>
    </row>
    <row r="782" spans="1:15" ht="24" customHeight="1" thickTop="1" thickBot="1" x14ac:dyDescent="0.45">
      <c r="A782" s="40" t="s">
        <v>3688</v>
      </c>
      <c r="B782" s="3" t="s">
        <v>3689</v>
      </c>
      <c r="C782" s="3">
        <v>442</v>
      </c>
      <c r="D782" s="23">
        <v>34725</v>
      </c>
      <c r="E782" s="3" t="s">
        <v>1</v>
      </c>
      <c r="F782" s="3" t="s">
        <v>1238</v>
      </c>
      <c r="G782" s="3">
        <v>8</v>
      </c>
      <c r="H782" s="3" t="s">
        <v>18</v>
      </c>
      <c r="L782" s="23">
        <v>44525</v>
      </c>
      <c r="M782" s="23">
        <v>44525</v>
      </c>
      <c r="N782" s="23">
        <v>44525</v>
      </c>
    </row>
    <row r="783" spans="1:15" ht="24" customHeight="1" thickTop="1" thickBot="1" x14ac:dyDescent="0.45">
      <c r="A783" s="40" t="s">
        <v>3690</v>
      </c>
      <c r="B783" s="3" t="s">
        <v>3691</v>
      </c>
      <c r="C783" s="3">
        <v>428</v>
      </c>
      <c r="D783" s="23">
        <v>35173</v>
      </c>
      <c r="E783" s="3" t="s">
        <v>1</v>
      </c>
      <c r="F783" s="3" t="s">
        <v>1238</v>
      </c>
      <c r="G783" s="3">
        <v>8</v>
      </c>
      <c r="H783" s="3" t="s">
        <v>18</v>
      </c>
      <c r="K783" s="23" t="s">
        <v>99</v>
      </c>
      <c r="M783" s="23">
        <v>44512</v>
      </c>
      <c r="N783" s="23">
        <v>44513</v>
      </c>
      <c r="O783" s="23">
        <v>44527</v>
      </c>
    </row>
    <row r="784" spans="1:15" ht="24" customHeight="1" thickTop="1" thickBot="1" x14ac:dyDescent="0.45">
      <c r="A784" s="40" t="s">
        <v>3692</v>
      </c>
      <c r="B784" s="3" t="s">
        <v>3693</v>
      </c>
      <c r="C784" s="3">
        <v>6052</v>
      </c>
      <c r="D784" s="23">
        <v>35552</v>
      </c>
      <c r="E784" s="3" t="s">
        <v>1</v>
      </c>
      <c r="F784" s="3" t="s">
        <v>1238</v>
      </c>
      <c r="G784" s="3">
        <v>8</v>
      </c>
      <c r="H784" s="3" t="s">
        <v>18</v>
      </c>
      <c r="K784" s="23" t="s">
        <v>32</v>
      </c>
      <c r="L784" s="23">
        <v>45376</v>
      </c>
      <c r="M784" s="23">
        <v>45525</v>
      </c>
      <c r="N784" s="23">
        <v>45376</v>
      </c>
    </row>
    <row r="785" spans="1:14" ht="24" customHeight="1" thickTop="1" thickBot="1" x14ac:dyDescent="0.45">
      <c r="A785" s="40" t="s">
        <v>3730</v>
      </c>
      <c r="B785" s="3" t="s">
        <v>3731</v>
      </c>
      <c r="C785" s="3">
        <v>251</v>
      </c>
      <c r="D785" s="23" t="s">
        <v>3749</v>
      </c>
      <c r="E785" s="3" t="s">
        <v>1</v>
      </c>
      <c r="F785" s="3" t="s">
        <v>1239</v>
      </c>
      <c r="G785" s="3" t="s">
        <v>3749</v>
      </c>
      <c r="H785" s="3" t="s">
        <v>18</v>
      </c>
      <c r="M785" s="23">
        <v>43529</v>
      </c>
    </row>
    <row r="786" spans="1:14" ht="24" customHeight="1" thickTop="1" thickBot="1" x14ac:dyDescent="0.45">
      <c r="A786" s="40" t="s">
        <v>3732</v>
      </c>
      <c r="B786" s="3" t="s">
        <v>3733</v>
      </c>
      <c r="C786" s="3">
        <v>555</v>
      </c>
      <c r="D786" s="23" t="s">
        <v>3749</v>
      </c>
      <c r="E786" s="3" t="s">
        <v>1</v>
      </c>
      <c r="F786" s="3" t="s">
        <v>1239</v>
      </c>
      <c r="G786" s="3" t="s">
        <v>3749</v>
      </c>
      <c r="H786" s="3" t="s">
        <v>18</v>
      </c>
      <c r="M786" s="23">
        <v>44886</v>
      </c>
    </row>
    <row r="787" spans="1:14" ht="24" customHeight="1" thickTop="1" thickBot="1" x14ac:dyDescent="0.45">
      <c r="A787" s="40" t="s">
        <v>3734</v>
      </c>
      <c r="B787" s="3" t="s">
        <v>3735</v>
      </c>
      <c r="C787" s="3">
        <v>205</v>
      </c>
      <c r="D787" s="23" t="s">
        <v>3749</v>
      </c>
      <c r="E787" s="3" t="s">
        <v>1</v>
      </c>
      <c r="F787" s="3" t="s">
        <v>6</v>
      </c>
      <c r="G787" s="3" t="s">
        <v>3749</v>
      </c>
      <c r="H787" s="3" t="s">
        <v>18</v>
      </c>
      <c r="M787" s="23">
        <v>43303</v>
      </c>
    </row>
    <row r="788" spans="1:14" ht="24" customHeight="1" thickTop="1" thickBot="1" x14ac:dyDescent="0.45">
      <c r="A788" s="40" t="s">
        <v>3736</v>
      </c>
      <c r="B788" s="3" t="s">
        <v>3737</v>
      </c>
      <c r="C788" s="3">
        <v>253</v>
      </c>
      <c r="D788" s="23" t="s">
        <v>3749</v>
      </c>
      <c r="E788" s="3" t="s">
        <v>1</v>
      </c>
      <c r="F788" s="3" t="s">
        <v>6</v>
      </c>
      <c r="G788" s="3" t="s">
        <v>3749</v>
      </c>
      <c r="H788" s="3" t="s">
        <v>18</v>
      </c>
      <c r="M788" s="23">
        <v>43544</v>
      </c>
    </row>
    <row r="789" spans="1:14" ht="24" customHeight="1" thickTop="1" thickBot="1" x14ac:dyDescent="0.45">
      <c r="A789" s="40" t="s">
        <v>3738</v>
      </c>
      <c r="B789" s="3" t="s">
        <v>3739</v>
      </c>
      <c r="C789" s="3">
        <v>337</v>
      </c>
      <c r="D789" s="23" t="s">
        <v>3749</v>
      </c>
      <c r="E789" s="3" t="s">
        <v>1</v>
      </c>
      <c r="F789" s="3" t="s">
        <v>6</v>
      </c>
      <c r="G789" s="3" t="s">
        <v>3749</v>
      </c>
      <c r="H789" s="3" t="s">
        <v>18</v>
      </c>
      <c r="M789" s="23">
        <v>44268</v>
      </c>
    </row>
    <row r="790" spans="1:14" ht="24" customHeight="1" thickTop="1" thickBot="1" x14ac:dyDescent="0.45">
      <c r="A790" s="40" t="s">
        <v>3740</v>
      </c>
      <c r="B790" s="3" t="s">
        <v>3741</v>
      </c>
      <c r="C790" s="3">
        <v>212</v>
      </c>
      <c r="D790" s="23" t="s">
        <v>3749</v>
      </c>
      <c r="E790" s="3" t="s">
        <v>1</v>
      </c>
      <c r="F790" s="3" t="s">
        <v>1238</v>
      </c>
      <c r="G790" s="3" t="s">
        <v>3749</v>
      </c>
      <c r="H790" s="3" t="s">
        <v>18</v>
      </c>
      <c r="M790" s="23">
        <v>43303</v>
      </c>
    </row>
    <row r="791" spans="1:14" ht="24" customHeight="1" thickTop="1" thickBot="1" x14ac:dyDescent="0.45">
      <c r="A791" s="40" t="s">
        <v>3742</v>
      </c>
      <c r="B791" s="3" t="s">
        <v>3743</v>
      </c>
      <c r="C791" s="3">
        <v>343</v>
      </c>
      <c r="D791" s="23" t="s">
        <v>3749</v>
      </c>
      <c r="E791" s="3" t="s">
        <v>1</v>
      </c>
      <c r="F791" s="3" t="s">
        <v>1238</v>
      </c>
      <c r="G791" s="3" t="s">
        <v>3749</v>
      </c>
      <c r="H791" s="3" t="s">
        <v>18</v>
      </c>
      <c r="M791" s="23">
        <v>44274</v>
      </c>
    </row>
    <row r="792" spans="1:14" ht="24" customHeight="1" thickTop="1" thickBot="1" x14ac:dyDescent="0.45">
      <c r="A792" s="40" t="s">
        <v>3744</v>
      </c>
      <c r="B792" s="3" t="s">
        <v>3745</v>
      </c>
      <c r="C792" s="3">
        <v>281</v>
      </c>
      <c r="D792" s="23" t="s">
        <v>3749</v>
      </c>
      <c r="E792" s="3" t="s">
        <v>1</v>
      </c>
      <c r="F792" s="3" t="s">
        <v>1238</v>
      </c>
      <c r="G792" s="3" t="s">
        <v>3749</v>
      </c>
      <c r="H792" s="3" t="s">
        <v>18</v>
      </c>
      <c r="M792" s="23">
        <v>43622</v>
      </c>
    </row>
    <row r="793" spans="1:14" ht="24" customHeight="1" thickTop="1" thickBot="1" x14ac:dyDescent="0.45">
      <c r="A793" s="40" t="s">
        <v>3694</v>
      </c>
      <c r="B793" s="3" t="s">
        <v>3695</v>
      </c>
      <c r="C793" s="3">
        <v>6061</v>
      </c>
      <c r="D793" s="23">
        <v>37795</v>
      </c>
      <c r="E793" s="3" t="s">
        <v>1</v>
      </c>
      <c r="F793" s="3" t="s">
        <v>1239</v>
      </c>
      <c r="G793" s="3" t="s">
        <v>2140</v>
      </c>
      <c r="H793" s="3" t="s">
        <v>18</v>
      </c>
      <c r="K793" s="23" t="s">
        <v>3696</v>
      </c>
      <c r="L793" s="23">
        <v>45732</v>
      </c>
      <c r="M793" s="23">
        <v>45924</v>
      </c>
    </row>
    <row r="794" spans="1:14" ht="24" customHeight="1" thickTop="1" thickBot="1" x14ac:dyDescent="0.45">
      <c r="A794" s="40" t="s">
        <v>3697</v>
      </c>
      <c r="B794" s="3" t="s">
        <v>3698</v>
      </c>
      <c r="C794" s="3">
        <v>759</v>
      </c>
      <c r="D794" s="23">
        <v>35643</v>
      </c>
      <c r="E794" s="3" t="s">
        <v>1</v>
      </c>
      <c r="F794" s="3" t="s">
        <v>1239</v>
      </c>
      <c r="G794" s="3" t="s">
        <v>2140</v>
      </c>
      <c r="H794" s="3" t="s">
        <v>18</v>
      </c>
      <c r="K794" s="23" t="s">
        <v>1220</v>
      </c>
      <c r="L794" s="23">
        <v>45789</v>
      </c>
      <c r="M794" s="23">
        <v>45841</v>
      </c>
      <c r="N794" s="23">
        <v>45802</v>
      </c>
    </row>
    <row r="795" spans="1:14" ht="24" customHeight="1" thickTop="1" thickBot="1" x14ac:dyDescent="0.45">
      <c r="A795" s="40" t="s">
        <v>3699</v>
      </c>
      <c r="B795" s="3" t="s">
        <v>3700</v>
      </c>
      <c r="C795" s="3">
        <v>669</v>
      </c>
      <c r="D795" s="23" t="s">
        <v>3749</v>
      </c>
      <c r="E795" s="3" t="s">
        <v>1</v>
      </c>
      <c r="F795" s="3" t="s">
        <v>1239</v>
      </c>
      <c r="G795" s="3" t="s">
        <v>2140</v>
      </c>
      <c r="H795" s="3" t="s">
        <v>18</v>
      </c>
      <c r="L795" s="23">
        <v>45376</v>
      </c>
      <c r="M795" s="23">
        <v>45385</v>
      </c>
      <c r="N795" s="23">
        <v>45376</v>
      </c>
    </row>
    <row r="796" spans="1:14" ht="24" customHeight="1" thickTop="1" thickBot="1" x14ac:dyDescent="0.45">
      <c r="A796" s="40" t="s">
        <v>3701</v>
      </c>
      <c r="B796" s="3" t="s">
        <v>3702</v>
      </c>
      <c r="C796" s="3">
        <v>647</v>
      </c>
      <c r="D796" s="23" t="s">
        <v>3749</v>
      </c>
      <c r="E796" s="3" t="s">
        <v>1</v>
      </c>
      <c r="F796" s="3" t="s">
        <v>1239</v>
      </c>
      <c r="G796" s="3" t="s">
        <v>2140</v>
      </c>
      <c r="H796" s="3" t="s">
        <v>18</v>
      </c>
      <c r="L796" s="23">
        <v>45215</v>
      </c>
      <c r="M796" s="23">
        <v>45249</v>
      </c>
      <c r="N796" s="23">
        <v>45215</v>
      </c>
    </row>
    <row r="797" spans="1:14" ht="24" customHeight="1" thickTop="1" thickBot="1" x14ac:dyDescent="0.45">
      <c r="A797" s="40" t="s">
        <v>3703</v>
      </c>
      <c r="B797" s="3" t="s">
        <v>3704</v>
      </c>
      <c r="C797" s="3">
        <v>822</v>
      </c>
      <c r="D797" s="23">
        <v>35125</v>
      </c>
      <c r="E797" s="3" t="s">
        <v>1</v>
      </c>
      <c r="F797" s="3" t="s">
        <v>6</v>
      </c>
      <c r="G797" s="3" t="s">
        <v>2140</v>
      </c>
      <c r="H797" s="3" t="s">
        <v>18</v>
      </c>
      <c r="K797" s="23" t="s">
        <v>1107</v>
      </c>
      <c r="M797" s="23">
        <v>46060</v>
      </c>
      <c r="N797" s="23">
        <v>46076</v>
      </c>
    </row>
    <row r="798" spans="1:14" ht="24" customHeight="1" thickTop="1" thickBot="1" x14ac:dyDescent="0.45">
      <c r="A798" s="40" t="s">
        <v>3705</v>
      </c>
      <c r="B798" s="3" t="s">
        <v>3706</v>
      </c>
      <c r="C798" s="3">
        <v>797</v>
      </c>
      <c r="D798" s="23">
        <v>36687</v>
      </c>
      <c r="E798" s="3" t="s">
        <v>1</v>
      </c>
      <c r="F798" s="3" t="s">
        <v>6</v>
      </c>
      <c r="G798" s="3" t="s">
        <v>2140</v>
      </c>
      <c r="H798" s="3" t="s">
        <v>18</v>
      </c>
      <c r="K798" s="23" t="s">
        <v>29</v>
      </c>
      <c r="L798" s="23">
        <v>45909</v>
      </c>
      <c r="M798" s="23">
        <v>45927</v>
      </c>
      <c r="N798" s="23">
        <v>45930</v>
      </c>
    </row>
    <row r="799" spans="1:14" ht="24" customHeight="1" thickTop="1" thickBot="1" x14ac:dyDescent="0.45">
      <c r="A799" s="40" t="s">
        <v>3707</v>
      </c>
      <c r="B799" s="3" t="s">
        <v>3708</v>
      </c>
      <c r="C799" s="3">
        <v>796</v>
      </c>
      <c r="D799" s="23">
        <v>37490</v>
      </c>
      <c r="E799" s="3" t="s">
        <v>1</v>
      </c>
      <c r="F799" s="3" t="s">
        <v>6</v>
      </c>
      <c r="G799" s="3" t="s">
        <v>2140</v>
      </c>
      <c r="H799" s="3" t="s">
        <v>18</v>
      </c>
      <c r="K799" s="23" t="s">
        <v>29</v>
      </c>
      <c r="L799" s="23">
        <v>45885</v>
      </c>
      <c r="M799" s="23">
        <v>45927</v>
      </c>
      <c r="N799" s="23">
        <v>45897</v>
      </c>
    </row>
    <row r="800" spans="1:14" ht="24" customHeight="1" thickTop="1" thickBot="1" x14ac:dyDescent="0.45">
      <c r="A800" s="40" t="s">
        <v>3709</v>
      </c>
      <c r="B800" s="3" t="s">
        <v>1722</v>
      </c>
      <c r="C800" s="3">
        <v>838</v>
      </c>
      <c r="D800" s="23">
        <v>38888</v>
      </c>
      <c r="E800" s="3" t="s">
        <v>1</v>
      </c>
      <c r="F800" s="3" t="s">
        <v>6</v>
      </c>
      <c r="G800" s="3" t="s">
        <v>2140</v>
      </c>
      <c r="H800" s="3" t="s">
        <v>18</v>
      </c>
      <c r="K800" s="23" t="s">
        <v>27</v>
      </c>
      <c r="L800" s="23">
        <v>46105</v>
      </c>
      <c r="M800" s="23">
        <v>46151</v>
      </c>
      <c r="N800" s="23">
        <v>46148</v>
      </c>
    </row>
    <row r="801" spans="1:23" ht="24" customHeight="1" thickTop="1" thickBot="1" x14ac:dyDescent="0.45">
      <c r="A801" s="40" t="s">
        <v>3710</v>
      </c>
      <c r="B801" s="3" t="s">
        <v>3711</v>
      </c>
      <c r="C801" s="3">
        <v>217</v>
      </c>
      <c r="D801" s="23">
        <v>34257</v>
      </c>
      <c r="E801" s="3" t="s">
        <v>1</v>
      </c>
      <c r="F801" s="3" t="s">
        <v>6</v>
      </c>
      <c r="G801" s="3" t="s">
        <v>2140</v>
      </c>
      <c r="H801" s="3" t="s">
        <v>18</v>
      </c>
      <c r="M801" s="23">
        <v>43309</v>
      </c>
    </row>
    <row r="802" spans="1:23" ht="24" customHeight="1" thickTop="1" thickBot="1" x14ac:dyDescent="0.45">
      <c r="A802" s="40" t="s">
        <v>3712</v>
      </c>
      <c r="B802" s="3" t="s">
        <v>3713</v>
      </c>
      <c r="C802" s="3">
        <v>369</v>
      </c>
      <c r="D802" s="23">
        <v>35404</v>
      </c>
      <c r="E802" s="3" t="s">
        <v>1</v>
      </c>
      <c r="F802" s="3" t="s">
        <v>6</v>
      </c>
      <c r="G802" s="3" t="s">
        <v>2140</v>
      </c>
      <c r="H802" s="3" t="s">
        <v>18</v>
      </c>
      <c r="M802" s="23">
        <v>44341</v>
      </c>
    </row>
    <row r="803" spans="1:23" ht="24" customHeight="1" thickTop="1" thickBot="1" x14ac:dyDescent="0.45">
      <c r="A803" s="40" t="s">
        <v>3714</v>
      </c>
      <c r="B803" s="3" t="s">
        <v>3715</v>
      </c>
      <c r="C803" s="3">
        <v>805</v>
      </c>
      <c r="D803" s="23">
        <v>36789</v>
      </c>
      <c r="E803" s="3" t="s">
        <v>1</v>
      </c>
      <c r="F803" s="3" t="s">
        <v>1238</v>
      </c>
      <c r="G803" s="3" t="s">
        <v>2140</v>
      </c>
      <c r="H803" s="3" t="s">
        <v>18</v>
      </c>
      <c r="K803" s="23" t="s">
        <v>8</v>
      </c>
      <c r="L803" s="23">
        <v>45933</v>
      </c>
      <c r="M803" s="23">
        <v>45983</v>
      </c>
      <c r="N803" s="23">
        <v>45985</v>
      </c>
    </row>
    <row r="804" spans="1:23" ht="24" customHeight="1" thickTop="1" thickBot="1" x14ac:dyDescent="0.45">
      <c r="A804" s="40" t="s">
        <v>3716</v>
      </c>
      <c r="B804" s="3" t="s">
        <v>1433</v>
      </c>
      <c r="C804" s="3">
        <v>819</v>
      </c>
      <c r="D804" s="23">
        <v>32994</v>
      </c>
      <c r="E804" s="3" t="s">
        <v>1</v>
      </c>
      <c r="F804" s="3" t="s">
        <v>1238</v>
      </c>
      <c r="G804" s="3" t="s">
        <v>2140</v>
      </c>
      <c r="H804" s="3" t="s">
        <v>18</v>
      </c>
      <c r="K804" s="23" t="s">
        <v>3717</v>
      </c>
      <c r="M804" s="23">
        <v>46047</v>
      </c>
      <c r="N804" s="23">
        <v>46019</v>
      </c>
    </row>
    <row r="805" spans="1:23" ht="24" customHeight="1" thickTop="1" thickBot="1" x14ac:dyDescent="0.45">
      <c r="A805" s="40" t="s">
        <v>3718</v>
      </c>
      <c r="B805" s="3" t="s">
        <v>1418</v>
      </c>
      <c r="C805" s="3">
        <v>826</v>
      </c>
      <c r="D805" s="23">
        <v>36456</v>
      </c>
      <c r="E805" s="3" t="s">
        <v>1</v>
      </c>
      <c r="F805" s="3" t="s">
        <v>1238</v>
      </c>
      <c r="G805" s="3" t="s">
        <v>2140</v>
      </c>
      <c r="H805" s="3" t="s">
        <v>18</v>
      </c>
      <c r="K805" s="23" t="s">
        <v>29</v>
      </c>
      <c r="L805" s="23">
        <v>46007</v>
      </c>
      <c r="M805" s="23">
        <v>46071</v>
      </c>
      <c r="N805" s="23">
        <v>46019</v>
      </c>
    </row>
    <row r="806" spans="1:23" ht="24" customHeight="1" thickTop="1" thickBot="1" x14ac:dyDescent="0.45">
      <c r="A806" s="40" t="s">
        <v>3719</v>
      </c>
      <c r="B806" s="3" t="s">
        <v>3720</v>
      </c>
      <c r="C806" s="3">
        <v>767</v>
      </c>
      <c r="D806" s="23">
        <v>37723</v>
      </c>
      <c r="E806" s="3" t="s">
        <v>1</v>
      </c>
      <c r="F806" s="3" t="s">
        <v>1238</v>
      </c>
      <c r="G806" s="3" t="s">
        <v>2140</v>
      </c>
      <c r="H806" s="3" t="s">
        <v>18</v>
      </c>
      <c r="L806" s="23">
        <v>45818</v>
      </c>
      <c r="M806" s="23">
        <v>45868</v>
      </c>
    </row>
    <row r="807" spans="1:23" ht="24" customHeight="1" thickTop="1" thickBot="1" x14ac:dyDescent="0.45">
      <c r="A807" s="40" t="s">
        <v>3721</v>
      </c>
      <c r="B807" s="3" t="s">
        <v>3722</v>
      </c>
      <c r="C807" s="3">
        <v>815</v>
      </c>
      <c r="D807" s="23">
        <v>36531</v>
      </c>
      <c r="E807" s="3" t="s">
        <v>1</v>
      </c>
      <c r="F807" s="3" t="s">
        <v>1238</v>
      </c>
      <c r="G807" s="3" t="s">
        <v>2140</v>
      </c>
      <c r="H807" s="3" t="s">
        <v>18</v>
      </c>
      <c r="K807" s="23" t="s">
        <v>3723</v>
      </c>
      <c r="L807" s="23">
        <v>45964</v>
      </c>
      <c r="M807" s="23">
        <v>46031</v>
      </c>
      <c r="N807" s="23">
        <v>45985</v>
      </c>
    </row>
    <row r="808" spans="1:23" ht="24" customHeight="1" thickTop="1" thickBot="1" x14ac:dyDescent="0.45">
      <c r="A808" s="40" t="s">
        <v>3724</v>
      </c>
      <c r="B808" s="3" t="s">
        <v>3725</v>
      </c>
      <c r="C808" s="3">
        <v>492</v>
      </c>
      <c r="D808" s="23" t="s">
        <v>3749</v>
      </c>
      <c r="E808" s="3" t="s">
        <v>1</v>
      </c>
      <c r="F808" s="3" t="s">
        <v>1238</v>
      </c>
      <c r="G808" s="3" t="s">
        <v>2140</v>
      </c>
      <c r="H808" s="3" t="s">
        <v>18</v>
      </c>
      <c r="K808" s="23" t="s">
        <v>1117</v>
      </c>
      <c r="M808" s="23">
        <v>44620</v>
      </c>
    </row>
    <row r="809" spans="1:23" ht="24" customHeight="1" thickTop="1" thickBot="1" x14ac:dyDescent="0.45">
      <c r="A809" s="40" t="s">
        <v>3726</v>
      </c>
      <c r="B809" s="3" t="s">
        <v>3727</v>
      </c>
      <c r="C809" s="3">
        <v>447</v>
      </c>
      <c r="D809" s="23" t="s">
        <v>3749</v>
      </c>
      <c r="E809" s="3" t="s">
        <v>1</v>
      </c>
      <c r="F809" s="3" t="s">
        <v>1238</v>
      </c>
      <c r="G809" s="3" t="s">
        <v>2140</v>
      </c>
      <c r="H809" s="3" t="s">
        <v>18</v>
      </c>
      <c r="K809" s="23" t="s">
        <v>1171</v>
      </c>
      <c r="L809" s="23">
        <v>44525</v>
      </c>
      <c r="M809" s="23">
        <v>44526</v>
      </c>
      <c r="N809" s="23">
        <v>44525</v>
      </c>
    </row>
    <row r="810" spans="1:23" ht="24" customHeight="1" thickTop="1" thickBot="1" x14ac:dyDescent="0.45">
      <c r="A810" s="40" t="s">
        <v>3728</v>
      </c>
      <c r="B810" s="3" t="s">
        <v>3729</v>
      </c>
      <c r="C810" s="3">
        <v>682</v>
      </c>
      <c r="D810" s="23" t="s">
        <v>3749</v>
      </c>
      <c r="E810" s="3" t="s">
        <v>1</v>
      </c>
      <c r="F810" s="3" t="s">
        <v>1238</v>
      </c>
      <c r="G810" s="3" t="s">
        <v>2140</v>
      </c>
      <c r="H810" s="3" t="s">
        <v>18</v>
      </c>
      <c r="L810" s="23">
        <v>45411</v>
      </c>
      <c r="M810" s="23">
        <v>45419</v>
      </c>
      <c r="N810" s="23">
        <v>45411</v>
      </c>
    </row>
    <row r="811" spans="1:23" ht="24" customHeight="1" thickTop="1" thickBot="1" x14ac:dyDescent="0.45">
      <c r="A811" s="74" t="s">
        <v>3762</v>
      </c>
      <c r="B811" s="75" t="s">
        <v>3763</v>
      </c>
      <c r="C811" s="75"/>
      <c r="D811" s="76">
        <v>34417</v>
      </c>
      <c r="E811" s="75" t="s">
        <v>43</v>
      </c>
      <c r="F811" s="75" t="s">
        <v>1238</v>
      </c>
      <c r="G811" s="75" t="s">
        <v>3749</v>
      </c>
      <c r="H811" s="75" t="s">
        <v>18</v>
      </c>
      <c r="I811" s="75"/>
      <c r="J811" s="75"/>
      <c r="K811" s="76"/>
      <c r="L811" s="76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5"/>
    </row>
    <row r="813" spans="1:23" ht="24" customHeight="1" x14ac:dyDescent="0.4"/>
    <row r="814" spans="1:23" ht="24" customHeight="1" x14ac:dyDescent="0.4"/>
    <row r="815" spans="1:23" ht="24" customHeight="1" x14ac:dyDescent="0.4"/>
    <row r="816" spans="1:23" ht="24" customHeight="1" x14ac:dyDescent="0.4"/>
    <row r="817" ht="24" customHeight="1" x14ac:dyDescent="0.4"/>
    <row r="818" ht="24" customHeight="1" x14ac:dyDescent="0.4"/>
    <row r="819" ht="24" customHeight="1" x14ac:dyDescent="0.4"/>
    <row r="820" ht="24" customHeight="1" x14ac:dyDescent="0.4"/>
    <row r="821" ht="24" customHeight="1" x14ac:dyDescent="0.4"/>
    <row r="822" ht="24" customHeight="1" x14ac:dyDescent="0.4"/>
    <row r="823" ht="24" customHeight="1" x14ac:dyDescent="0.4"/>
    <row r="824" ht="24" customHeight="1" x14ac:dyDescent="0.4"/>
    <row r="825" ht="24" customHeight="1" x14ac:dyDescent="0.4"/>
    <row r="826" ht="24" customHeight="1" x14ac:dyDescent="0.4"/>
    <row r="827" ht="24" customHeight="1" x14ac:dyDescent="0.4"/>
    <row r="828" ht="24" customHeight="1" x14ac:dyDescent="0.4"/>
    <row r="829" ht="24" customHeight="1" x14ac:dyDescent="0.4"/>
    <row r="830" ht="24" customHeight="1" x14ac:dyDescent="0.4"/>
    <row r="831" ht="24" customHeight="1" x14ac:dyDescent="0.4"/>
    <row r="832" ht="24" customHeight="1" x14ac:dyDescent="0.4"/>
    <row r="833" ht="24" customHeight="1" x14ac:dyDescent="0.4"/>
    <row r="834" ht="24" customHeight="1" x14ac:dyDescent="0.4"/>
    <row r="835" ht="24" customHeight="1" x14ac:dyDescent="0.4"/>
    <row r="836" ht="24" customHeight="1" x14ac:dyDescent="0.4"/>
    <row r="837" ht="24" customHeight="1" x14ac:dyDescent="0.4"/>
    <row r="838" ht="24" customHeight="1" x14ac:dyDescent="0.4"/>
    <row r="839" ht="24" customHeight="1" x14ac:dyDescent="0.4"/>
    <row r="840" ht="24" customHeight="1" x14ac:dyDescent="0.4"/>
    <row r="841" ht="24" customHeight="1" x14ac:dyDescent="0.4"/>
    <row r="842" ht="24" customHeight="1" x14ac:dyDescent="0.4"/>
    <row r="843" ht="24" customHeight="1" x14ac:dyDescent="0.4"/>
    <row r="844" ht="24" customHeight="1" x14ac:dyDescent="0.4"/>
    <row r="845" ht="24" customHeight="1" x14ac:dyDescent="0.4"/>
    <row r="846" ht="24" customHeight="1" x14ac:dyDescent="0.4"/>
    <row r="847" ht="24" customHeight="1" x14ac:dyDescent="0.4"/>
    <row r="848" ht="24" customHeight="1" x14ac:dyDescent="0.4"/>
    <row r="849" ht="24" customHeight="1" x14ac:dyDescent="0.4"/>
    <row r="850" ht="24" customHeight="1" x14ac:dyDescent="0.4"/>
    <row r="851" ht="24" customHeight="1" x14ac:dyDescent="0.4"/>
    <row r="852" ht="24" customHeight="1" x14ac:dyDescent="0.4"/>
    <row r="853" ht="24" customHeight="1" x14ac:dyDescent="0.4"/>
    <row r="854" ht="24" customHeight="1" x14ac:dyDescent="0.4"/>
    <row r="855" ht="24" customHeight="1" x14ac:dyDescent="0.4"/>
    <row r="856" ht="24" customHeight="1" x14ac:dyDescent="0.4"/>
    <row r="857" ht="24" customHeight="1" x14ac:dyDescent="0.4"/>
    <row r="858" ht="24" customHeight="1" x14ac:dyDescent="0.4"/>
    <row r="859" ht="24" customHeight="1" x14ac:dyDescent="0.4"/>
    <row r="860" ht="24" customHeight="1" x14ac:dyDescent="0.4"/>
    <row r="861" ht="24" customHeight="1" x14ac:dyDescent="0.4"/>
    <row r="862" ht="24" customHeight="1" x14ac:dyDescent="0.4"/>
    <row r="863" ht="24" customHeight="1" x14ac:dyDescent="0.4"/>
    <row r="864" ht="24" customHeight="1" x14ac:dyDescent="0.4"/>
    <row r="865" ht="24" customHeight="1" x14ac:dyDescent="0.4"/>
    <row r="866" ht="24" customHeight="1" x14ac:dyDescent="0.4"/>
    <row r="867" ht="24" customHeight="1" x14ac:dyDescent="0.4"/>
    <row r="868" ht="24" customHeight="1" x14ac:dyDescent="0.4"/>
    <row r="869" ht="24" customHeight="1" x14ac:dyDescent="0.4"/>
    <row r="870" ht="24" customHeight="1" x14ac:dyDescent="0.4"/>
    <row r="871" ht="24" customHeight="1" x14ac:dyDescent="0.4"/>
    <row r="872" ht="24" customHeight="1" x14ac:dyDescent="0.4"/>
    <row r="873" ht="24" customHeight="1" x14ac:dyDescent="0.4"/>
    <row r="874" ht="24" customHeight="1" x14ac:dyDescent="0.4"/>
    <row r="875" ht="24" customHeight="1" x14ac:dyDescent="0.4"/>
    <row r="876" ht="24" customHeight="1" x14ac:dyDescent="0.4"/>
    <row r="877" ht="24" customHeight="1" x14ac:dyDescent="0.4"/>
    <row r="878" ht="24" customHeight="1" x14ac:dyDescent="0.4"/>
    <row r="879" ht="24" customHeight="1" x14ac:dyDescent="0.4"/>
    <row r="880" ht="24" customHeight="1" x14ac:dyDescent="0.4"/>
    <row r="881" ht="24" customHeight="1" x14ac:dyDescent="0.4"/>
    <row r="882" ht="24" customHeight="1" x14ac:dyDescent="0.4"/>
    <row r="883" ht="24" customHeight="1" x14ac:dyDescent="0.4"/>
    <row r="884" ht="24" customHeight="1" x14ac:dyDescent="0.4"/>
    <row r="885" ht="24" customHeight="1" x14ac:dyDescent="0.4"/>
    <row r="886" ht="24" customHeight="1" x14ac:dyDescent="0.4"/>
    <row r="887" ht="24" customHeight="1" x14ac:dyDescent="0.4"/>
    <row r="888" ht="24" customHeight="1" x14ac:dyDescent="0.4"/>
    <row r="889" ht="24" customHeight="1" x14ac:dyDescent="0.4"/>
    <row r="890" ht="24" customHeight="1" x14ac:dyDescent="0.4"/>
    <row r="891" ht="24" customHeight="1" x14ac:dyDescent="0.4"/>
    <row r="892" ht="24" customHeight="1" x14ac:dyDescent="0.4"/>
    <row r="893" ht="24" customHeight="1" x14ac:dyDescent="0.4"/>
    <row r="894" ht="24" customHeight="1" x14ac:dyDescent="0.4"/>
    <row r="895" ht="24" customHeight="1" x14ac:dyDescent="0.4"/>
    <row r="896" ht="24" customHeight="1" x14ac:dyDescent="0.4"/>
    <row r="897" ht="24" customHeight="1" x14ac:dyDescent="0.4"/>
    <row r="898" ht="24" customHeight="1" x14ac:dyDescent="0.4"/>
    <row r="899" ht="24" customHeight="1" x14ac:dyDescent="0.4"/>
    <row r="900" ht="24" customHeight="1" x14ac:dyDescent="0.4"/>
    <row r="901" ht="24" customHeight="1" x14ac:dyDescent="0.4"/>
    <row r="902" ht="24" customHeight="1" x14ac:dyDescent="0.4"/>
    <row r="903" ht="24" customHeight="1" x14ac:dyDescent="0.4"/>
    <row r="904" ht="24" customHeight="1" x14ac:dyDescent="0.4"/>
    <row r="905" ht="24" customHeight="1" x14ac:dyDescent="0.4"/>
    <row r="906" ht="24" customHeight="1" x14ac:dyDescent="0.4"/>
    <row r="907" ht="24" customHeight="1" x14ac:dyDescent="0.4"/>
    <row r="908" ht="24" customHeight="1" x14ac:dyDescent="0.4"/>
    <row r="909" ht="24" customHeight="1" x14ac:dyDescent="0.4"/>
    <row r="910" ht="24" customHeight="1" x14ac:dyDescent="0.4"/>
    <row r="911" ht="24" customHeight="1" x14ac:dyDescent="0.4"/>
    <row r="912" ht="24" customHeight="1" x14ac:dyDescent="0.4"/>
    <row r="913" ht="24" customHeight="1" x14ac:dyDescent="0.4"/>
    <row r="914" ht="24" customHeight="1" x14ac:dyDescent="0.4"/>
    <row r="915" ht="24" customHeight="1" x14ac:dyDescent="0.4"/>
    <row r="916" ht="24" customHeight="1" x14ac:dyDescent="0.4"/>
    <row r="917" ht="24" customHeight="1" x14ac:dyDescent="0.4"/>
    <row r="918" ht="24" customHeight="1" x14ac:dyDescent="0.4"/>
    <row r="919" ht="24" customHeight="1" x14ac:dyDescent="0.4"/>
    <row r="920" ht="24" customHeight="1" x14ac:dyDescent="0.4"/>
    <row r="921" ht="24" customHeight="1" x14ac:dyDescent="0.4"/>
    <row r="922" ht="24" customHeight="1" x14ac:dyDescent="0.4"/>
    <row r="923" ht="24" customHeight="1" x14ac:dyDescent="0.4"/>
    <row r="924" ht="24" customHeight="1" x14ac:dyDescent="0.4"/>
    <row r="925" ht="24" customHeight="1" x14ac:dyDescent="0.4"/>
    <row r="926" ht="24" customHeight="1" x14ac:dyDescent="0.4"/>
    <row r="927" ht="24" customHeight="1" x14ac:dyDescent="0.4"/>
    <row r="928" ht="24" customHeight="1" x14ac:dyDescent="0.4"/>
    <row r="929" ht="24" customHeight="1" x14ac:dyDescent="0.4"/>
    <row r="930" ht="24" customHeight="1" x14ac:dyDescent="0.4"/>
    <row r="931" ht="24" customHeight="1" x14ac:dyDescent="0.4"/>
    <row r="932" ht="24" customHeight="1" x14ac:dyDescent="0.4"/>
    <row r="933" ht="24" customHeight="1" x14ac:dyDescent="0.4"/>
    <row r="934" ht="24" customHeight="1" x14ac:dyDescent="0.4"/>
    <row r="935" ht="24" customHeight="1" x14ac:dyDescent="0.4"/>
    <row r="936" ht="24" customHeight="1" x14ac:dyDescent="0.4"/>
    <row r="937" ht="24" customHeight="1" x14ac:dyDescent="0.4"/>
    <row r="938" ht="24" customHeight="1" x14ac:dyDescent="0.4"/>
    <row r="939" ht="24" customHeight="1" x14ac:dyDescent="0.4"/>
    <row r="940" ht="24" customHeight="1" x14ac:dyDescent="0.4"/>
    <row r="941" ht="24" customHeight="1" x14ac:dyDescent="0.4"/>
    <row r="942" ht="24" customHeight="1" x14ac:dyDescent="0.4"/>
    <row r="943" ht="24" customHeight="1" x14ac:dyDescent="0.4"/>
    <row r="944" ht="24" customHeight="1" x14ac:dyDescent="0.4"/>
    <row r="945" ht="24" customHeight="1" x14ac:dyDescent="0.4"/>
    <row r="946" ht="24" customHeight="1" x14ac:dyDescent="0.4"/>
    <row r="947" ht="24" customHeight="1" x14ac:dyDescent="0.4"/>
    <row r="948" ht="24" customHeight="1" x14ac:dyDescent="0.4"/>
    <row r="949" ht="24" customHeight="1" x14ac:dyDescent="0.4"/>
    <row r="950" ht="24" customHeight="1" x14ac:dyDescent="0.4"/>
    <row r="951" ht="24" customHeight="1" x14ac:dyDescent="0.4"/>
    <row r="952" ht="24" customHeight="1" x14ac:dyDescent="0.4"/>
    <row r="953" ht="24" customHeight="1" x14ac:dyDescent="0.4"/>
    <row r="954" ht="24" customHeight="1" x14ac:dyDescent="0.4"/>
    <row r="955" ht="24" customHeight="1" x14ac:dyDescent="0.4"/>
    <row r="956" ht="24" customHeight="1" x14ac:dyDescent="0.4"/>
    <row r="957" ht="24" customHeight="1" x14ac:dyDescent="0.4"/>
    <row r="958" ht="24" customHeight="1" x14ac:dyDescent="0.4"/>
    <row r="959" ht="24" customHeight="1" x14ac:dyDescent="0.4"/>
    <row r="960" ht="24" customHeight="1" x14ac:dyDescent="0.4"/>
    <row r="961" ht="24" customHeight="1" x14ac:dyDescent="0.4"/>
    <row r="962" ht="24" customHeight="1" x14ac:dyDescent="0.4"/>
    <row r="963" ht="24" customHeight="1" x14ac:dyDescent="0.4"/>
    <row r="964" ht="24" customHeight="1" x14ac:dyDescent="0.4"/>
    <row r="965" ht="24" customHeight="1" x14ac:dyDescent="0.4"/>
    <row r="966" ht="24" customHeight="1" x14ac:dyDescent="0.4"/>
    <row r="967" ht="24" customHeight="1" x14ac:dyDescent="0.4"/>
    <row r="968" ht="24" customHeight="1" x14ac:dyDescent="0.4"/>
    <row r="969" ht="24" customHeight="1" x14ac:dyDescent="0.4"/>
    <row r="970" ht="24" customHeight="1" x14ac:dyDescent="0.4"/>
    <row r="971" ht="24" customHeight="1" x14ac:dyDescent="0.4"/>
    <row r="972" ht="24" customHeight="1" x14ac:dyDescent="0.4"/>
    <row r="973" ht="24" customHeight="1" x14ac:dyDescent="0.4"/>
    <row r="974" ht="24" customHeight="1" x14ac:dyDescent="0.4"/>
    <row r="975" ht="24" customHeight="1" x14ac:dyDescent="0.4"/>
    <row r="976" ht="24" customHeight="1" x14ac:dyDescent="0.4"/>
    <row r="977" ht="24" customHeight="1" x14ac:dyDescent="0.4"/>
    <row r="978" ht="24" customHeight="1" x14ac:dyDescent="0.4"/>
    <row r="979" ht="24" customHeight="1" x14ac:dyDescent="0.4"/>
    <row r="980" ht="24" customHeight="1" x14ac:dyDescent="0.4"/>
    <row r="981" ht="24" customHeight="1" x14ac:dyDescent="0.4"/>
    <row r="982" ht="24" customHeight="1" x14ac:dyDescent="0.4"/>
    <row r="983" ht="24" customHeight="1" x14ac:dyDescent="0.4"/>
    <row r="984" ht="24" customHeight="1" x14ac:dyDescent="0.4"/>
    <row r="985" ht="24" customHeight="1" x14ac:dyDescent="0.4"/>
    <row r="986" ht="24" customHeight="1" x14ac:dyDescent="0.4"/>
    <row r="987" ht="24" customHeight="1" x14ac:dyDescent="0.4"/>
    <row r="988" ht="24" customHeight="1" x14ac:dyDescent="0.4"/>
    <row r="989" ht="24" customHeight="1" x14ac:dyDescent="0.4"/>
    <row r="990" ht="24" customHeight="1" x14ac:dyDescent="0.4"/>
    <row r="991" ht="24" customHeight="1" x14ac:dyDescent="0.4"/>
    <row r="992" ht="24" customHeight="1" x14ac:dyDescent="0.4"/>
    <row r="993" ht="24" customHeight="1" x14ac:dyDescent="0.4"/>
    <row r="994" ht="24" customHeight="1" x14ac:dyDescent="0.4"/>
    <row r="995" ht="24" customHeight="1" x14ac:dyDescent="0.4"/>
    <row r="996" ht="24" customHeight="1" x14ac:dyDescent="0.4"/>
    <row r="997" ht="24" customHeight="1" x14ac:dyDescent="0.4"/>
    <row r="998" ht="24" customHeight="1" x14ac:dyDescent="0.4"/>
    <row r="999" ht="24" customHeight="1" x14ac:dyDescent="0.4"/>
    <row r="1000" ht="24" customHeight="1" x14ac:dyDescent="0.4"/>
    <row r="1001" ht="24" customHeight="1" x14ac:dyDescent="0.4"/>
    <row r="1002" ht="24" customHeight="1" x14ac:dyDescent="0.4"/>
    <row r="1003" ht="24" customHeight="1" x14ac:dyDescent="0.4"/>
    <row r="1004" ht="24" customHeight="1" x14ac:dyDescent="0.4"/>
    <row r="1005" ht="24" customHeight="1" x14ac:dyDescent="0.4"/>
    <row r="1006" ht="24" customHeight="1" x14ac:dyDescent="0.4"/>
    <row r="1007" ht="24" customHeight="1" x14ac:dyDescent="0.4"/>
    <row r="1008" ht="24" customHeight="1" x14ac:dyDescent="0.4"/>
    <row r="1009" ht="24" customHeight="1" x14ac:dyDescent="0.4"/>
    <row r="1010" ht="24" customHeight="1" x14ac:dyDescent="0.4"/>
    <row r="1011" ht="24" customHeight="1" x14ac:dyDescent="0.4"/>
    <row r="1012" ht="24" customHeight="1" x14ac:dyDescent="0.4"/>
    <row r="1013" ht="24" customHeight="1" x14ac:dyDescent="0.4"/>
    <row r="1014" ht="24" customHeight="1" x14ac:dyDescent="0.4"/>
    <row r="1015" ht="24" customHeight="1" x14ac:dyDescent="0.4"/>
    <row r="1016" ht="24" customHeight="1" x14ac:dyDescent="0.4"/>
    <row r="1017" ht="24" customHeight="1" x14ac:dyDescent="0.4"/>
    <row r="1018" ht="24" customHeight="1" x14ac:dyDescent="0.4"/>
    <row r="1019" ht="24" customHeight="1" x14ac:dyDescent="0.4"/>
    <row r="1020" ht="24" customHeight="1" x14ac:dyDescent="0.4"/>
    <row r="1021" ht="24" customHeight="1" x14ac:dyDescent="0.4"/>
    <row r="1022" ht="24" customHeight="1" x14ac:dyDescent="0.4"/>
    <row r="1023" ht="24" customHeight="1" x14ac:dyDescent="0.4"/>
    <row r="1024" ht="24" customHeight="1" x14ac:dyDescent="0.4"/>
    <row r="1025" ht="24" customHeight="1" x14ac:dyDescent="0.4"/>
  </sheetData>
  <phoneticPr fontId="1" type="noConversion"/>
  <conditionalFormatting sqref="B1:B1048576">
    <cfRule type="duplicateValues" dxfId="2" priority="1"/>
  </conditionalFormatting>
  <dataValidations count="5">
    <dataValidation type="list" allowBlank="1" showInputMessage="1" showErrorMessage="1" sqref="H2:H811" xr:uid="{A15F002D-DB31-41E8-A00E-66458CD288FC}">
      <formula1>그룹목록</formula1>
    </dataValidation>
    <dataValidation type="list" allowBlank="1" showInputMessage="1" showErrorMessage="1" sqref="E2:E811" xr:uid="{68F1D57F-AEFC-4586-A1B8-01E4A6E18BF8}">
      <formula1>"남자,여자"</formula1>
    </dataValidation>
    <dataValidation type="list" allowBlank="1" showInputMessage="1" showErrorMessage="1" sqref="J2:J811" xr:uid="{C07ED40A-5A8D-470E-BE38-157EC697A31D}">
      <formula1>"수장,전력외,교수,학생"</formula1>
    </dataValidation>
    <dataValidation type="list" allowBlank="1" showInputMessage="1" showErrorMessage="1" sqref="G2:G811" xr:uid="{A1A28F44-5759-4114-83D2-8101A79059DB}">
      <formula1>"갓,킹,잭,조커,스페이드,0,1,2,3,4,5,6,7,8,유스,체크"</formula1>
    </dataValidation>
    <dataValidation type="list" allowBlank="1" showInputMessage="1" showErrorMessage="1" sqref="F2:F811" xr:uid="{5E772142-FE62-4922-9654-D73A6BEA14B4}">
      <formula1>"테란,저그,프로토스,랜덤,체크"</formula1>
    </dataValidation>
  </dataValidations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32B91-580F-4011-9CDE-118CF9AE3981}">
  <sheetPr codeName="Sheet01"/>
  <dimension ref="A1:D17"/>
  <sheetViews>
    <sheetView topLeftCell="B1" zoomScale="70" zoomScaleNormal="70" workbookViewId="0">
      <selection activeCell="C5" sqref="C5"/>
    </sheetView>
  </sheetViews>
  <sheetFormatPr defaultColWidth="15.69921875" defaultRowHeight="24" customHeight="1" thickTop="1" thickBottom="1" x14ac:dyDescent="0.45"/>
  <cols>
    <col min="1" max="1" width="0" style="3" hidden="1" customWidth="1"/>
    <col min="2" max="2" width="15.69921875" style="3"/>
    <col min="3" max="3" width="15.69921875" style="23"/>
    <col min="4" max="16384" width="15.69921875" style="3"/>
  </cols>
  <sheetData>
    <row r="1" spans="1:4" ht="24" customHeight="1" thickTop="1" thickBot="1" x14ac:dyDescent="0.45">
      <c r="A1" s="11" t="s">
        <v>1268</v>
      </c>
      <c r="B1" s="8" t="s">
        <v>75</v>
      </c>
      <c r="C1" s="61" t="s">
        <v>874</v>
      </c>
      <c r="D1" s="11" t="s">
        <v>1324</v>
      </c>
    </row>
    <row r="2" spans="1:4" ht="24" customHeight="1" thickTop="1" thickBot="1" x14ac:dyDescent="0.45">
      <c r="A2" s="24">
        <f ca="1">TODAY()</f>
        <v>46270</v>
      </c>
      <c r="B2" s="14" t="s">
        <v>76</v>
      </c>
      <c r="C2" s="24">
        <v>45481</v>
      </c>
      <c r="D2" s="14" t="str" cm="1">
        <f t="array" ref="D2:D17">_xlfn.LET(
  _xlpm.ADDS, {"FA";"휴면"},
  _xlpm.TEMP, _xlfn.VSTACK(_xlfn._xlws.FILTER(크루[크루], 크루[해체일]=""), _xlpm.ADDS),
  _xlpm.UNIQ, _xlfn.UNIQUE(_xlpm.TEMP),
  _xlpm.UNIQ
)</f>
        <v>흑카데미</v>
      </c>
    </row>
    <row r="3" spans="1:4" ht="24" customHeight="1" thickTop="1" thickBot="1" x14ac:dyDescent="0.45">
      <c r="B3" s="3" t="s">
        <v>77</v>
      </c>
      <c r="C3" s="23">
        <v>45592</v>
      </c>
      <c r="D3" s="3" t="str">
        <v>JSA</v>
      </c>
    </row>
    <row r="4" spans="1:4" ht="24" customHeight="1" thickTop="1" thickBot="1" x14ac:dyDescent="0.45">
      <c r="B4" s="3" t="s">
        <v>78</v>
      </c>
      <c r="C4" s="23">
        <v>45853</v>
      </c>
      <c r="D4" s="3" t="str">
        <v>케이대</v>
      </c>
    </row>
    <row r="5" spans="1:4" ht="24" customHeight="1" thickTop="1" thickBot="1" x14ac:dyDescent="0.45">
      <c r="B5" s="3" t="s">
        <v>79</v>
      </c>
      <c r="C5" s="23">
        <v>45960</v>
      </c>
      <c r="D5" s="3" t="str">
        <v>캄몬스타즈</v>
      </c>
    </row>
    <row r="6" spans="1:4" ht="24" customHeight="1" thickTop="1" thickBot="1" x14ac:dyDescent="0.45">
      <c r="B6" s="32" t="s">
        <v>1726</v>
      </c>
      <c r="C6" s="70">
        <v>46096</v>
      </c>
      <c r="D6" s="3" t="str">
        <v>엠비대</v>
      </c>
    </row>
    <row r="7" spans="1:4" ht="24" customHeight="1" thickTop="1" thickBot="1" x14ac:dyDescent="0.45">
      <c r="B7" s="32" t="s">
        <v>1788</v>
      </c>
      <c r="C7" s="70">
        <v>46147</v>
      </c>
      <c r="D7" s="3" t="str">
        <v>와플대</v>
      </c>
    </row>
    <row r="8" spans="1:4" ht="24" customHeight="1" thickTop="1" thickBot="1" x14ac:dyDescent="0.45">
      <c r="B8" s="32" t="s">
        <v>3752</v>
      </c>
      <c r="C8" s="70">
        <v>46270</v>
      </c>
      <c r="D8" s="3" t="str">
        <v>수술대</v>
      </c>
    </row>
    <row r="9" spans="1:4" ht="24" customHeight="1" thickTop="1" thickBot="1" x14ac:dyDescent="0.45">
      <c r="D9" s="3" t="str">
        <v>뉴캣슬</v>
      </c>
    </row>
    <row r="10" spans="1:4" ht="24" customHeight="1" thickTop="1" thickBot="1" x14ac:dyDescent="0.45">
      <c r="D10" s="3" t="str">
        <v>BGM</v>
      </c>
    </row>
    <row r="11" spans="1:4" ht="24" customHeight="1" thickTop="1" thickBot="1" x14ac:dyDescent="0.45">
      <c r="D11" s="3" t="str">
        <v>HM</v>
      </c>
    </row>
    <row r="12" spans="1:4" ht="24" customHeight="1" thickTop="1" thickBot="1" x14ac:dyDescent="0.45">
      <c r="D12" s="3" t="str">
        <v>DM</v>
      </c>
    </row>
    <row r="13" spans="1:4" ht="24" customHeight="1" thickTop="1" thickBot="1" x14ac:dyDescent="0.45">
      <c r="D13" s="3" t="str">
        <v>신세계</v>
      </c>
    </row>
    <row r="14" spans="1:4" ht="24" customHeight="1" thickTop="1" thickBot="1" x14ac:dyDescent="0.45">
      <c r="D14" s="3" t="str">
        <v>더블비</v>
      </c>
    </row>
    <row r="15" spans="1:4" ht="24" customHeight="1" thickTop="1" thickBot="1" x14ac:dyDescent="0.45">
      <c r="D15" s="3" t="str">
        <v>드림즈</v>
      </c>
    </row>
    <row r="16" spans="1:4" ht="24" customHeight="1" thickTop="1" thickBot="1" x14ac:dyDescent="0.45">
      <c r="D16" s="3" t="str">
        <v>FA</v>
      </c>
    </row>
    <row r="17" spans="4:4" ht="24" customHeight="1" thickTop="1" thickBot="1" x14ac:dyDescent="0.45">
      <c r="D17" s="3" t="str">
        <v>휴면</v>
      </c>
    </row>
  </sheetData>
  <phoneticPr fontId="1" type="noConversion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BD86F-2479-45DC-BD2D-F860AFCCDD81}">
  <sheetPr codeName="Sheet02"/>
  <dimension ref="A1:G112"/>
  <sheetViews>
    <sheetView topLeftCell="A49" zoomScale="70" zoomScaleNormal="70" workbookViewId="0">
      <selection activeCell="E54" sqref="E54"/>
    </sheetView>
  </sheetViews>
  <sheetFormatPr defaultColWidth="15.69921875" defaultRowHeight="24" customHeight="1" thickTop="1" thickBottom="1" x14ac:dyDescent="0.45"/>
  <cols>
    <col min="1" max="1" width="15.69921875" style="15" customWidth="1"/>
    <col min="2" max="2" width="21.69921875" style="3" customWidth="1"/>
    <col min="3" max="4" width="21.69921875" style="23" customWidth="1"/>
    <col min="5" max="7" width="21.69921875" style="3" customWidth="1"/>
    <col min="8" max="16384" width="15.69921875" style="3"/>
  </cols>
  <sheetData>
    <row r="1" spans="1:7" ht="24" customHeight="1" thickTop="1" thickBot="1" x14ac:dyDescent="0.45">
      <c r="A1" s="25" t="s">
        <v>1323</v>
      </c>
      <c r="B1" s="1" t="s">
        <v>1336</v>
      </c>
      <c r="C1" s="26" t="s">
        <v>80</v>
      </c>
      <c r="D1" s="26" t="s">
        <v>81</v>
      </c>
      <c r="E1" s="1" t="s">
        <v>82</v>
      </c>
      <c r="F1" s="1" t="s">
        <v>1290</v>
      </c>
      <c r="G1" s="2" t="s">
        <v>83</v>
      </c>
    </row>
    <row r="2" spans="1:7" ht="24" customHeight="1" thickTop="1" thickBot="1" x14ac:dyDescent="0.45">
      <c r="A2" s="27" t="s">
        <v>84</v>
      </c>
      <c r="B2" s="14" t="s">
        <v>1335</v>
      </c>
      <c r="C2" s="24">
        <v>43223</v>
      </c>
      <c r="D2" s="24">
        <v>44515</v>
      </c>
      <c r="E2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1293</v>
      </c>
      <c r="F2" s="14" t="s">
        <v>1291</v>
      </c>
      <c r="G2" s="14" t="s">
        <v>1279</v>
      </c>
    </row>
    <row r="3" spans="1:7" ht="24" customHeight="1" thickTop="1" thickBot="1" x14ac:dyDescent="0.45">
      <c r="A3" s="15" t="s">
        <v>86</v>
      </c>
      <c r="B3" s="3" t="s">
        <v>56</v>
      </c>
      <c r="C3" s="23">
        <v>44377</v>
      </c>
      <c r="D3" s="23">
        <v>45630</v>
      </c>
      <c r="E3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1254</v>
      </c>
    </row>
    <row r="4" spans="1:7" ht="24" customHeight="1" thickTop="1" thickBot="1" x14ac:dyDescent="0.45">
      <c r="A4" s="15" t="s">
        <v>116</v>
      </c>
      <c r="B4" s="3" t="s">
        <v>60</v>
      </c>
      <c r="C4" s="23">
        <v>44390</v>
      </c>
      <c r="D4" s="23">
        <v>44643</v>
      </c>
      <c r="E4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254</v>
      </c>
      <c r="F4" s="3" t="s">
        <v>1339</v>
      </c>
    </row>
    <row r="5" spans="1:7" ht="24" customHeight="1" thickTop="1" thickBot="1" x14ac:dyDescent="0.45">
      <c r="A5" s="15" t="s">
        <v>87</v>
      </c>
      <c r="B5" s="3" t="s">
        <v>50</v>
      </c>
      <c r="C5" s="23">
        <v>44392</v>
      </c>
      <c r="D5" s="23">
        <v>44515</v>
      </c>
      <c r="E5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124</v>
      </c>
      <c r="F5" s="3" t="s">
        <v>1291</v>
      </c>
    </row>
    <row r="6" spans="1:7" ht="24" customHeight="1" thickTop="1" thickBot="1" x14ac:dyDescent="0.45">
      <c r="A6" s="15" t="s">
        <v>88</v>
      </c>
      <c r="B6" s="3" t="s">
        <v>63</v>
      </c>
      <c r="C6" s="23">
        <v>44396</v>
      </c>
      <c r="D6" s="23">
        <v>44472</v>
      </c>
      <c r="E6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77</v>
      </c>
    </row>
    <row r="7" spans="1:7" ht="24" customHeight="1" thickTop="1" thickBot="1" x14ac:dyDescent="0.45">
      <c r="A7" s="15" t="s">
        <v>89</v>
      </c>
      <c r="B7" s="3" t="s">
        <v>90</v>
      </c>
      <c r="C7" s="23">
        <v>44401</v>
      </c>
      <c r="D7" s="23">
        <v>44714</v>
      </c>
      <c r="E7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314</v>
      </c>
      <c r="F7" s="3" t="s">
        <v>1328</v>
      </c>
    </row>
    <row r="8" spans="1:7" ht="24" customHeight="1" thickTop="1" thickBot="1" x14ac:dyDescent="0.45">
      <c r="A8" s="15" t="s">
        <v>91</v>
      </c>
      <c r="B8" s="3" t="s">
        <v>92</v>
      </c>
      <c r="C8" s="23">
        <v>44403</v>
      </c>
      <c r="D8" s="23">
        <v>44585</v>
      </c>
      <c r="E8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183</v>
      </c>
      <c r="F8" s="3" t="s">
        <v>1292</v>
      </c>
    </row>
    <row r="9" spans="1:7" ht="24" customHeight="1" thickTop="1" thickBot="1" x14ac:dyDescent="0.45">
      <c r="A9" s="15" t="s">
        <v>1398</v>
      </c>
      <c r="B9" s="3" t="s">
        <v>48</v>
      </c>
      <c r="C9" s="23">
        <v>44412</v>
      </c>
      <c r="D9" s="23">
        <v>44517</v>
      </c>
      <c r="E9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106</v>
      </c>
      <c r="F9" s="3" t="s">
        <v>1301</v>
      </c>
    </row>
    <row r="10" spans="1:7" ht="24" customHeight="1" thickTop="1" thickBot="1" x14ac:dyDescent="0.45">
      <c r="A10" s="15" t="s">
        <v>94</v>
      </c>
      <c r="B10" s="3" t="s">
        <v>47</v>
      </c>
      <c r="C10" s="23">
        <v>44413</v>
      </c>
      <c r="D10" s="23">
        <v>44600</v>
      </c>
      <c r="E10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188</v>
      </c>
      <c r="F10" s="3" t="s">
        <v>1293</v>
      </c>
    </row>
    <row r="11" spans="1:7" ht="24" customHeight="1" thickTop="1" thickBot="1" x14ac:dyDescent="0.45">
      <c r="A11" s="28" t="s">
        <v>1294</v>
      </c>
      <c r="B11" s="2" t="s">
        <v>1054</v>
      </c>
      <c r="C11" s="23">
        <v>44414</v>
      </c>
      <c r="D11" s="23">
        <v>44414</v>
      </c>
      <c r="E11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</v>
      </c>
      <c r="F11" s="3" t="s">
        <v>1295</v>
      </c>
      <c r="G11" s="8"/>
    </row>
    <row r="12" spans="1:7" ht="24" customHeight="1" thickTop="1" thickBot="1" x14ac:dyDescent="0.45">
      <c r="A12" s="15" t="s">
        <v>95</v>
      </c>
      <c r="B12" s="3" t="s">
        <v>67</v>
      </c>
      <c r="C12" s="23">
        <v>44417</v>
      </c>
      <c r="D12" s="23">
        <v>44443</v>
      </c>
      <c r="E12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27</v>
      </c>
    </row>
    <row r="13" spans="1:7" ht="24" customHeight="1" thickTop="1" thickBot="1" x14ac:dyDescent="0.45">
      <c r="A13" s="15" t="s">
        <v>1079</v>
      </c>
      <c r="B13" s="3" t="s">
        <v>1331</v>
      </c>
      <c r="C13" s="23">
        <v>44432</v>
      </c>
      <c r="D13" s="23">
        <v>44882</v>
      </c>
      <c r="E13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451</v>
      </c>
      <c r="F13" s="3" t="s">
        <v>1296</v>
      </c>
      <c r="G13" s="3" t="s">
        <v>1280</v>
      </c>
    </row>
    <row r="14" spans="1:7" ht="24" customHeight="1" thickTop="1" thickBot="1" x14ac:dyDescent="0.45">
      <c r="A14" s="15" t="s">
        <v>96</v>
      </c>
      <c r="B14" s="3" t="s">
        <v>1307</v>
      </c>
      <c r="C14" s="23">
        <v>44488</v>
      </c>
      <c r="D14" s="23">
        <v>44761</v>
      </c>
      <c r="E14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274</v>
      </c>
      <c r="G14" s="3" t="s">
        <v>1281</v>
      </c>
    </row>
    <row r="15" spans="1:7" ht="24" customHeight="1" thickTop="1" thickBot="1" x14ac:dyDescent="0.45">
      <c r="A15" s="15" t="s">
        <v>98</v>
      </c>
      <c r="B15" s="3" t="s">
        <v>1227</v>
      </c>
      <c r="C15" s="23">
        <v>44491</v>
      </c>
      <c r="D15" s="23">
        <v>44510</v>
      </c>
      <c r="E15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20</v>
      </c>
    </row>
    <row r="16" spans="1:7" ht="24" customHeight="1" thickTop="1" thickBot="1" x14ac:dyDescent="0.45">
      <c r="A16" s="15" t="s">
        <v>99</v>
      </c>
      <c r="B16" s="3" t="s">
        <v>100</v>
      </c>
      <c r="C16" s="23">
        <v>44504</v>
      </c>
      <c r="D16" s="23">
        <v>44910</v>
      </c>
      <c r="E16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407</v>
      </c>
      <c r="G16" s="3" t="s">
        <v>1282</v>
      </c>
    </row>
    <row r="17" spans="1:7" ht="24" customHeight="1" thickTop="1" thickBot="1" x14ac:dyDescent="0.45">
      <c r="A17" s="15" t="s">
        <v>101</v>
      </c>
      <c r="B17" s="3" t="s">
        <v>1228</v>
      </c>
      <c r="C17" s="23">
        <v>44515</v>
      </c>
      <c r="D17" s="23">
        <v>45353</v>
      </c>
      <c r="E17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839</v>
      </c>
    </row>
    <row r="18" spans="1:7" ht="24" customHeight="1" thickTop="1" thickBot="1" x14ac:dyDescent="0.45">
      <c r="A18" s="15" t="s">
        <v>102</v>
      </c>
      <c r="B18" s="3" t="s">
        <v>37</v>
      </c>
      <c r="C18" s="23">
        <v>44519</v>
      </c>
      <c r="D18" s="23">
        <v>44701</v>
      </c>
      <c r="E18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183</v>
      </c>
    </row>
    <row r="19" spans="1:7" ht="24" customHeight="1" thickTop="1" thickBot="1" x14ac:dyDescent="0.45">
      <c r="A19" s="15" t="s">
        <v>103</v>
      </c>
      <c r="B19" s="3" t="s">
        <v>104</v>
      </c>
      <c r="C19" s="23">
        <v>44523</v>
      </c>
      <c r="D19" s="23">
        <v>44528</v>
      </c>
      <c r="E19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6</v>
      </c>
    </row>
    <row r="20" spans="1:7" ht="24" customHeight="1" thickTop="1" thickBot="1" x14ac:dyDescent="0.45">
      <c r="A20" s="15" t="s">
        <v>1089</v>
      </c>
      <c r="B20" s="3" t="s">
        <v>1302</v>
      </c>
      <c r="C20" s="23">
        <v>44528</v>
      </c>
      <c r="D20" s="23">
        <v>44714</v>
      </c>
      <c r="E20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187</v>
      </c>
    </row>
    <row r="21" spans="1:7" ht="24" customHeight="1" thickTop="1" thickBot="1" x14ac:dyDescent="0.45">
      <c r="A21" s="15" t="s">
        <v>106</v>
      </c>
      <c r="B21" s="3" t="s">
        <v>107</v>
      </c>
      <c r="C21" s="23">
        <v>44543</v>
      </c>
      <c r="D21" s="23">
        <v>44917</v>
      </c>
      <c r="E21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375</v>
      </c>
    </row>
    <row r="22" spans="1:7" ht="24" customHeight="1" thickTop="1" thickBot="1" x14ac:dyDescent="0.45">
      <c r="A22" s="28" t="s">
        <v>1343</v>
      </c>
      <c r="B22" s="2" t="s">
        <v>1070</v>
      </c>
      <c r="C22" s="23">
        <v>44569</v>
      </c>
      <c r="D22" s="23">
        <v>44607</v>
      </c>
      <c r="E22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39</v>
      </c>
      <c r="F22" s="3" t="s">
        <v>1344</v>
      </c>
      <c r="G22" s="8"/>
    </row>
    <row r="23" spans="1:7" ht="24" customHeight="1" thickTop="1" thickBot="1" x14ac:dyDescent="0.45">
      <c r="A23" s="15" t="s">
        <v>108</v>
      </c>
      <c r="B23" s="3" t="s">
        <v>26</v>
      </c>
      <c r="C23" s="23">
        <v>44571</v>
      </c>
      <c r="D23" s="23">
        <v>44582</v>
      </c>
      <c r="E23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12</v>
      </c>
      <c r="F23" s="3" t="s">
        <v>1292</v>
      </c>
    </row>
    <row r="24" spans="1:7" ht="24" customHeight="1" thickTop="1" thickBot="1" x14ac:dyDescent="0.45">
      <c r="A24" s="28" t="s">
        <v>1312</v>
      </c>
      <c r="B24" s="2" t="s">
        <v>1313</v>
      </c>
      <c r="C24" s="23">
        <v>44583</v>
      </c>
      <c r="D24" s="23">
        <v>44591</v>
      </c>
      <c r="E24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9</v>
      </c>
      <c r="F24" s="3" t="s">
        <v>1292</v>
      </c>
      <c r="G24" s="8"/>
    </row>
    <row r="25" spans="1:7" ht="24" customHeight="1" thickTop="1" thickBot="1" x14ac:dyDescent="0.45">
      <c r="A25" s="15" t="s">
        <v>128</v>
      </c>
      <c r="B25" s="3" t="s">
        <v>46</v>
      </c>
      <c r="C25" s="23">
        <v>44592</v>
      </c>
      <c r="D25" s="23">
        <v>44868</v>
      </c>
      <c r="E25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277</v>
      </c>
      <c r="F25" s="3" t="s">
        <v>1404</v>
      </c>
    </row>
    <row r="26" spans="1:7" ht="24" customHeight="1" thickTop="1" thickBot="1" x14ac:dyDescent="0.45">
      <c r="A26" s="15" t="s">
        <v>109</v>
      </c>
      <c r="B26" s="3" t="s">
        <v>110</v>
      </c>
      <c r="C26" s="23">
        <v>44600</v>
      </c>
      <c r="D26" s="23">
        <v>44869</v>
      </c>
      <c r="E26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270</v>
      </c>
      <c r="G26" s="3" t="s">
        <v>1283</v>
      </c>
    </row>
    <row r="27" spans="1:7" ht="24" customHeight="1" thickTop="1" thickBot="1" x14ac:dyDescent="0.45">
      <c r="A27" s="15" t="s">
        <v>111</v>
      </c>
      <c r="B27" s="3" t="s">
        <v>1297</v>
      </c>
      <c r="C27" s="23">
        <v>44602</v>
      </c>
      <c r="D27" s="23">
        <v>44606</v>
      </c>
      <c r="E27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5</v>
      </c>
      <c r="F27" s="3" t="s">
        <v>1345</v>
      </c>
    </row>
    <row r="28" spans="1:7" ht="24" customHeight="1" thickTop="1" thickBot="1" x14ac:dyDescent="0.45">
      <c r="A28" s="15" t="s">
        <v>112</v>
      </c>
      <c r="B28" s="3" t="s">
        <v>113</v>
      </c>
      <c r="C28" s="23">
        <v>44703</v>
      </c>
      <c r="D28" s="23">
        <v>44713</v>
      </c>
      <c r="E28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11</v>
      </c>
      <c r="F28" s="3" t="s">
        <v>1292</v>
      </c>
    </row>
    <row r="29" spans="1:7" ht="24" customHeight="1" thickTop="1" thickBot="1" x14ac:dyDescent="0.45">
      <c r="A29" s="15" t="s">
        <v>114</v>
      </c>
      <c r="B29" s="3" t="s">
        <v>115</v>
      </c>
      <c r="C29" s="23">
        <v>44714</v>
      </c>
      <c r="D29" s="23">
        <v>44981</v>
      </c>
      <c r="E29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268</v>
      </c>
      <c r="F29" s="3" t="s">
        <v>1298</v>
      </c>
    </row>
    <row r="30" spans="1:7" ht="24" customHeight="1" thickTop="1" thickBot="1" x14ac:dyDescent="0.45">
      <c r="A30" s="15" t="s">
        <v>1090</v>
      </c>
      <c r="B30" s="3" t="s">
        <v>105</v>
      </c>
      <c r="C30" s="23">
        <v>44714</v>
      </c>
      <c r="D30" s="23">
        <v>44917</v>
      </c>
      <c r="E30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204</v>
      </c>
    </row>
    <row r="31" spans="1:7" ht="24" customHeight="1" thickTop="1" thickBot="1" x14ac:dyDescent="0.45">
      <c r="A31" s="15" t="s">
        <v>116</v>
      </c>
      <c r="B31" s="3" t="s">
        <v>60</v>
      </c>
      <c r="C31" s="23">
        <v>44715</v>
      </c>
      <c r="D31" s="23">
        <v>44757</v>
      </c>
      <c r="E31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43</v>
      </c>
      <c r="F31" s="3" t="s">
        <v>1332</v>
      </c>
    </row>
    <row r="32" spans="1:7" ht="24" customHeight="1" thickTop="1" thickBot="1" x14ac:dyDescent="0.45">
      <c r="A32" s="15" t="s">
        <v>117</v>
      </c>
      <c r="B32" s="3" t="s">
        <v>1230</v>
      </c>
      <c r="C32" s="23">
        <v>44721</v>
      </c>
      <c r="D32" s="23">
        <v>44990</v>
      </c>
      <c r="E32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270</v>
      </c>
    </row>
    <row r="33" spans="1:7" ht="24" customHeight="1" thickTop="1" thickBot="1" x14ac:dyDescent="0.45">
      <c r="A33" s="15" t="s">
        <v>118</v>
      </c>
      <c r="B33" s="3" t="s">
        <v>54</v>
      </c>
      <c r="C33" s="23">
        <v>44723</v>
      </c>
      <c r="D33" s="23">
        <v>45053</v>
      </c>
      <c r="E33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331</v>
      </c>
    </row>
    <row r="34" spans="1:7" ht="24" customHeight="1" thickTop="1" thickBot="1" x14ac:dyDescent="0.45">
      <c r="A34" s="28" t="s">
        <v>1311</v>
      </c>
      <c r="B34" s="2" t="s">
        <v>97</v>
      </c>
      <c r="C34" s="23">
        <v>44737</v>
      </c>
      <c r="D34" s="23">
        <v>44775</v>
      </c>
      <c r="E34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39</v>
      </c>
      <c r="G34" s="8"/>
    </row>
    <row r="35" spans="1:7" ht="24" customHeight="1" thickTop="1" thickBot="1" x14ac:dyDescent="0.45">
      <c r="A35" s="28" t="s">
        <v>1322</v>
      </c>
      <c r="B35" s="2" t="s">
        <v>1057</v>
      </c>
      <c r="C35" s="23">
        <v>44740</v>
      </c>
      <c r="D35" s="23">
        <v>44803</v>
      </c>
      <c r="E35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64</v>
      </c>
      <c r="G35" s="8"/>
    </row>
    <row r="36" spans="1:7" ht="24" customHeight="1" thickTop="1" thickBot="1" x14ac:dyDescent="0.45">
      <c r="A36" s="15" t="s">
        <v>119</v>
      </c>
      <c r="B36" s="3" t="s">
        <v>1330</v>
      </c>
      <c r="C36" s="23">
        <v>44772</v>
      </c>
      <c r="D36" s="23">
        <v>44787</v>
      </c>
      <c r="E36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16</v>
      </c>
    </row>
    <row r="37" spans="1:7" ht="24" customHeight="1" thickTop="1" thickBot="1" x14ac:dyDescent="0.45">
      <c r="A37" s="15" t="s">
        <v>1096</v>
      </c>
      <c r="B37" s="3" t="s">
        <v>120</v>
      </c>
      <c r="C37" s="23">
        <v>44799</v>
      </c>
      <c r="D37" s="23">
        <v>44992</v>
      </c>
      <c r="E37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194</v>
      </c>
      <c r="F37" s="3" t="s">
        <v>1306</v>
      </c>
    </row>
    <row r="38" spans="1:7" ht="24" customHeight="1" thickTop="1" thickBot="1" x14ac:dyDescent="0.45">
      <c r="A38" s="28" t="s">
        <v>1347</v>
      </c>
      <c r="B38" s="2" t="s">
        <v>1021</v>
      </c>
      <c r="C38" s="23">
        <v>44914</v>
      </c>
      <c r="D38" s="23">
        <v>44959</v>
      </c>
      <c r="E38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46</v>
      </c>
      <c r="G38" s="8"/>
    </row>
    <row r="39" spans="1:7" ht="24" customHeight="1" thickTop="1" thickBot="1" x14ac:dyDescent="0.45">
      <c r="A39" s="15" t="s">
        <v>1348</v>
      </c>
      <c r="B39" s="3" t="s">
        <v>1019</v>
      </c>
      <c r="C39" s="23">
        <v>44925</v>
      </c>
      <c r="D39" s="23">
        <v>44990</v>
      </c>
      <c r="E39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66</v>
      </c>
      <c r="F39" s="3" t="s">
        <v>1349</v>
      </c>
    </row>
    <row r="40" spans="1:7" ht="24" customHeight="1" thickTop="1" thickBot="1" x14ac:dyDescent="0.45">
      <c r="A40" s="15" t="s">
        <v>1350</v>
      </c>
      <c r="B40" s="3" t="s">
        <v>180</v>
      </c>
      <c r="C40" s="23">
        <v>44931</v>
      </c>
      <c r="D40" s="23">
        <v>44967</v>
      </c>
      <c r="E40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37</v>
      </c>
      <c r="F40" s="3" t="s">
        <v>1351</v>
      </c>
    </row>
    <row r="41" spans="1:7" ht="24" customHeight="1" thickTop="1" thickBot="1" x14ac:dyDescent="0.45">
      <c r="A41" s="15" t="s">
        <v>1352</v>
      </c>
      <c r="B41" s="3" t="s">
        <v>1027</v>
      </c>
      <c r="C41" s="23">
        <v>44934</v>
      </c>
      <c r="D41" s="23">
        <v>44968</v>
      </c>
      <c r="E41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35</v>
      </c>
      <c r="F41" s="3" t="s">
        <v>1353</v>
      </c>
    </row>
    <row r="42" spans="1:7" ht="24" customHeight="1" thickTop="1" thickBot="1" x14ac:dyDescent="0.45">
      <c r="A42" s="15" t="s">
        <v>1354</v>
      </c>
      <c r="B42" s="3" t="s">
        <v>1011</v>
      </c>
      <c r="C42" s="23">
        <v>44935</v>
      </c>
      <c r="D42" s="23">
        <v>44957</v>
      </c>
      <c r="E42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23</v>
      </c>
    </row>
    <row r="43" spans="1:7" ht="24" customHeight="1" thickTop="1" thickBot="1" x14ac:dyDescent="0.45">
      <c r="A43" s="15" t="s">
        <v>1355</v>
      </c>
      <c r="B43" s="3" t="s">
        <v>1022</v>
      </c>
      <c r="C43" s="23">
        <v>44936</v>
      </c>
      <c r="D43" s="23">
        <v>44990</v>
      </c>
      <c r="E43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55</v>
      </c>
    </row>
    <row r="44" spans="1:7" ht="24" customHeight="1" thickTop="1" thickBot="1" x14ac:dyDescent="0.45">
      <c r="A44" s="15" t="s">
        <v>1356</v>
      </c>
      <c r="B44" s="3" t="s">
        <v>1028</v>
      </c>
      <c r="C44" s="23">
        <v>44940</v>
      </c>
      <c r="D44" s="23">
        <v>44980</v>
      </c>
      <c r="E44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41</v>
      </c>
      <c r="F44" s="3" t="s">
        <v>1357</v>
      </c>
    </row>
    <row r="45" spans="1:7" ht="24" customHeight="1" thickTop="1" thickBot="1" x14ac:dyDescent="0.45">
      <c r="A45" s="15" t="s">
        <v>1358</v>
      </c>
      <c r="B45" s="3" t="s">
        <v>1077</v>
      </c>
      <c r="C45" s="23">
        <v>44941</v>
      </c>
      <c r="D45" s="23">
        <v>44986</v>
      </c>
      <c r="E45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46</v>
      </c>
      <c r="F45" s="3" t="s">
        <v>1344</v>
      </c>
    </row>
    <row r="46" spans="1:7" ht="24" customHeight="1" thickTop="1" thickBot="1" x14ac:dyDescent="0.45">
      <c r="A46" s="15" t="s">
        <v>1359</v>
      </c>
      <c r="B46" s="3" t="s">
        <v>1030</v>
      </c>
      <c r="C46" s="23">
        <v>44943</v>
      </c>
      <c r="D46" s="23">
        <v>45012</v>
      </c>
      <c r="E46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70</v>
      </c>
    </row>
    <row r="47" spans="1:7" ht="24" customHeight="1" thickTop="1" thickBot="1" x14ac:dyDescent="0.45">
      <c r="A47" s="15" t="s">
        <v>1360</v>
      </c>
      <c r="B47" s="3" t="s">
        <v>1024</v>
      </c>
      <c r="C47" s="23">
        <v>44950</v>
      </c>
      <c r="D47" s="23">
        <v>44986</v>
      </c>
      <c r="E47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37</v>
      </c>
      <c r="F47" s="3" t="s">
        <v>1344</v>
      </c>
    </row>
    <row r="48" spans="1:7" ht="24" customHeight="1" thickTop="1" thickBot="1" x14ac:dyDescent="0.45">
      <c r="A48" s="15" t="s">
        <v>1361</v>
      </c>
      <c r="B48" s="3" t="s">
        <v>69</v>
      </c>
      <c r="C48" s="23">
        <v>44953</v>
      </c>
      <c r="D48" s="23">
        <v>44986</v>
      </c>
      <c r="E48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34</v>
      </c>
      <c r="F48" s="3" t="s">
        <v>1344</v>
      </c>
    </row>
    <row r="49" spans="1:7" ht="24" customHeight="1" thickTop="1" thickBot="1" x14ac:dyDescent="0.45">
      <c r="A49" s="15" t="s">
        <v>1305</v>
      </c>
      <c r="B49" s="3" t="s">
        <v>97</v>
      </c>
      <c r="C49" s="23">
        <v>44964</v>
      </c>
      <c r="D49" s="23">
        <v>45005</v>
      </c>
      <c r="E49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42</v>
      </c>
      <c r="F49" s="3" t="s">
        <v>1304</v>
      </c>
    </row>
    <row r="50" spans="1:7" ht="24" customHeight="1" thickTop="1" thickBot="1" x14ac:dyDescent="0.45">
      <c r="A50" s="15" t="s">
        <v>121</v>
      </c>
      <c r="B50" s="3" t="s">
        <v>1231</v>
      </c>
      <c r="C50" s="23">
        <v>44973</v>
      </c>
      <c r="D50" s="23">
        <v>45298</v>
      </c>
      <c r="E50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326</v>
      </c>
    </row>
    <row r="51" spans="1:7" ht="24" customHeight="1" thickTop="1" thickBot="1" x14ac:dyDescent="0.45">
      <c r="A51" s="28" t="s">
        <v>122</v>
      </c>
      <c r="B51" s="2" t="s">
        <v>52</v>
      </c>
      <c r="C51" s="23">
        <v>44977</v>
      </c>
      <c r="D51" s="23">
        <v>45162</v>
      </c>
      <c r="E51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186</v>
      </c>
      <c r="G51" s="8"/>
    </row>
    <row r="52" spans="1:7" ht="24" customHeight="1" thickTop="1" thickBot="1" x14ac:dyDescent="0.45">
      <c r="A52" s="15" t="s">
        <v>123</v>
      </c>
      <c r="B52" s="3" t="s">
        <v>48</v>
      </c>
      <c r="C52" s="23">
        <v>44980</v>
      </c>
      <c r="D52" s="23">
        <v>45063</v>
      </c>
      <c r="E52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84</v>
      </c>
      <c r="G52" s="3" t="s">
        <v>1284</v>
      </c>
    </row>
    <row r="53" spans="1:7" ht="24" customHeight="1" thickTop="1" thickBot="1" x14ac:dyDescent="0.45">
      <c r="A53" s="15" t="s">
        <v>124</v>
      </c>
      <c r="B53" s="3" t="s">
        <v>1229</v>
      </c>
      <c r="C53" s="23">
        <v>44983</v>
      </c>
      <c r="D53" s="23">
        <v>45258</v>
      </c>
      <c r="E53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276</v>
      </c>
      <c r="F53" s="3" t="s">
        <v>1299</v>
      </c>
    </row>
    <row r="54" spans="1:7" ht="24" customHeight="1" thickTop="1" thickBot="1" x14ac:dyDescent="0.45">
      <c r="A54" s="15" t="s">
        <v>125</v>
      </c>
      <c r="B54" s="3" t="s">
        <v>45</v>
      </c>
      <c r="C54" s="23">
        <v>45005</v>
      </c>
      <c r="D54" s="23">
        <v>45066</v>
      </c>
      <c r="E54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62</v>
      </c>
    </row>
    <row r="55" spans="1:7" ht="24" customHeight="1" thickTop="1" thickBot="1" x14ac:dyDescent="0.45">
      <c r="A55" s="15" t="s">
        <v>34</v>
      </c>
      <c r="B55" s="3" t="s">
        <v>126</v>
      </c>
      <c r="C55" s="23">
        <v>45016</v>
      </c>
      <c r="E55" s="3">
        <f ca="1">_xlfn.LET(
  _xlpm.SROW, 크루[[#This Row],[창단일]],
  _xlpm.EROW, IF(크루[[#This Row],[해체일]]="", 설정!$A$2, 크루[[#This Row],[해체일]]),
  _xlpm.DURA, IF(_xlpm.SROW="", "", MAX(_xlpm.EROW - _xlpm.SROW + 1, 0)),
  _xlpm.DURA
)</f>
        <v>1255</v>
      </c>
    </row>
    <row r="56" spans="1:7" ht="24" customHeight="1" thickTop="1" thickBot="1" x14ac:dyDescent="0.45">
      <c r="A56" s="15" t="s">
        <v>127</v>
      </c>
      <c r="B56" s="3" t="s">
        <v>65</v>
      </c>
      <c r="C56" s="23">
        <v>45030</v>
      </c>
      <c r="D56" s="23">
        <v>45162</v>
      </c>
      <c r="E56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133</v>
      </c>
    </row>
    <row r="57" spans="1:7" ht="24" customHeight="1" thickTop="1" thickBot="1" x14ac:dyDescent="0.45">
      <c r="A57" s="15" t="s">
        <v>128</v>
      </c>
      <c r="B57" s="3" t="s">
        <v>46</v>
      </c>
      <c r="C57" s="23">
        <v>45054</v>
      </c>
      <c r="E57" s="3">
        <f ca="1">_xlfn.LET(
  _xlpm.SROW, 크루[[#This Row],[창단일]],
  _xlpm.EROW, IF(크루[[#This Row],[해체일]]="", 설정!$A$2, 크루[[#This Row],[해체일]]),
  _xlpm.DURA, IF(_xlpm.SROW="", "", MAX(_xlpm.EROW - _xlpm.SROW + 1, 0)),
  _xlpm.DURA
)</f>
        <v>1217</v>
      </c>
      <c r="F57" s="3" t="s">
        <v>1338</v>
      </c>
      <c r="G57" s="3" t="s">
        <v>1285</v>
      </c>
    </row>
    <row r="58" spans="1:7" ht="24" customHeight="1" thickTop="1" thickBot="1" x14ac:dyDescent="0.45">
      <c r="A58" s="15" t="s">
        <v>1093</v>
      </c>
      <c r="B58" s="3" t="s">
        <v>129</v>
      </c>
      <c r="C58" s="23">
        <v>45059</v>
      </c>
      <c r="D58" s="23">
        <v>45180</v>
      </c>
      <c r="E58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122</v>
      </c>
      <c r="F58" s="3" t="s">
        <v>1342</v>
      </c>
    </row>
    <row r="59" spans="1:7" ht="24" customHeight="1" thickTop="1" thickBot="1" x14ac:dyDescent="0.45">
      <c r="A59" s="15" t="s">
        <v>1091</v>
      </c>
      <c r="B59" s="3" t="s">
        <v>51</v>
      </c>
      <c r="C59" s="23">
        <v>45063</v>
      </c>
      <c r="D59" s="23">
        <v>45447</v>
      </c>
      <c r="E59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385</v>
      </c>
    </row>
    <row r="60" spans="1:7" ht="24" customHeight="1" thickTop="1" thickBot="1" x14ac:dyDescent="0.45">
      <c r="A60" s="15" t="s">
        <v>8</v>
      </c>
      <c r="B60" s="3" t="s">
        <v>45</v>
      </c>
      <c r="C60" s="23">
        <v>45066</v>
      </c>
      <c r="D60" s="23">
        <v>46227</v>
      </c>
      <c r="E60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1162</v>
      </c>
      <c r="G60" s="3" t="s">
        <v>1286</v>
      </c>
    </row>
    <row r="61" spans="1:7" ht="24" customHeight="1" thickTop="1" thickBot="1" x14ac:dyDescent="0.45">
      <c r="A61" s="15" t="s">
        <v>32</v>
      </c>
      <c r="B61" s="3" t="s">
        <v>53</v>
      </c>
      <c r="C61" s="23">
        <v>45086</v>
      </c>
      <c r="D61" s="23">
        <v>46112</v>
      </c>
      <c r="E61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1027</v>
      </c>
      <c r="F61" s="3" t="s">
        <v>1321</v>
      </c>
    </row>
    <row r="62" spans="1:7" ht="24" customHeight="1" thickTop="1" thickBot="1" x14ac:dyDescent="0.45">
      <c r="A62" s="15" t="s">
        <v>1346</v>
      </c>
      <c r="B62" s="3" t="s">
        <v>1012</v>
      </c>
      <c r="C62" s="23">
        <v>45092</v>
      </c>
      <c r="D62" s="23">
        <v>45152</v>
      </c>
      <c r="E62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61</v>
      </c>
      <c r="F62" s="3" t="s">
        <v>1344</v>
      </c>
    </row>
    <row r="63" spans="1:7" ht="24" customHeight="1" thickTop="1" thickBot="1" x14ac:dyDescent="0.45">
      <c r="A63" s="15" t="s">
        <v>962</v>
      </c>
      <c r="B63" s="3" t="s">
        <v>130</v>
      </c>
      <c r="C63" s="23">
        <v>45094</v>
      </c>
      <c r="D63" s="23">
        <v>45171</v>
      </c>
      <c r="E63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78</v>
      </c>
      <c r="F63" s="3" t="s">
        <v>1341</v>
      </c>
    </row>
    <row r="64" spans="1:7" ht="24" customHeight="1" thickTop="1" thickBot="1" x14ac:dyDescent="0.45">
      <c r="A64" s="15" t="s">
        <v>1362</v>
      </c>
      <c r="B64" s="3" t="s">
        <v>1062</v>
      </c>
      <c r="C64" s="23">
        <v>45148</v>
      </c>
      <c r="D64" s="23">
        <v>45190</v>
      </c>
      <c r="E64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43</v>
      </c>
    </row>
    <row r="65" spans="1:7" ht="24" customHeight="1" thickTop="1" thickBot="1" x14ac:dyDescent="0.45">
      <c r="A65" s="15" t="s">
        <v>1363</v>
      </c>
      <c r="B65" s="3" t="s">
        <v>120</v>
      </c>
      <c r="C65" s="23">
        <v>45149</v>
      </c>
      <c r="D65" s="23">
        <v>45172</v>
      </c>
      <c r="E65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24</v>
      </c>
      <c r="F65" s="3" t="s">
        <v>1368</v>
      </c>
    </row>
    <row r="66" spans="1:7" ht="24" customHeight="1" thickTop="1" thickBot="1" x14ac:dyDescent="0.45">
      <c r="A66" s="15" t="s">
        <v>131</v>
      </c>
      <c r="B66" s="3" t="s">
        <v>24</v>
      </c>
      <c r="C66" s="23">
        <v>45154</v>
      </c>
      <c r="D66" s="23">
        <v>45455</v>
      </c>
      <c r="E66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302</v>
      </c>
    </row>
    <row r="67" spans="1:7" ht="24" customHeight="1" thickTop="1" thickBot="1" x14ac:dyDescent="0.45">
      <c r="A67" s="15" t="s">
        <v>132</v>
      </c>
      <c r="B67" s="3" t="s">
        <v>1399</v>
      </c>
      <c r="C67" s="23">
        <v>45163</v>
      </c>
      <c r="D67" s="23">
        <v>45205</v>
      </c>
      <c r="E67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43</v>
      </c>
    </row>
    <row r="68" spans="1:7" ht="24" customHeight="1" thickTop="1" thickBot="1" x14ac:dyDescent="0.45">
      <c r="A68" s="15" t="s">
        <v>133</v>
      </c>
      <c r="B68" s="3" t="s">
        <v>44</v>
      </c>
      <c r="C68" s="23">
        <v>45174</v>
      </c>
      <c r="E68" s="3">
        <f ca="1">_xlfn.LET(
  _xlpm.SROW, 크루[[#This Row],[창단일]],
  _xlpm.EROW, IF(크루[[#This Row],[해체일]]="", 설정!$A$2, 크루[[#This Row],[해체일]]),
  _xlpm.DURA, IF(_xlpm.SROW="", "", MAX(_xlpm.EROW - _xlpm.SROW + 1, 0)),
  _xlpm.DURA
)</f>
        <v>1097</v>
      </c>
      <c r="G68" s="3" t="s">
        <v>1287</v>
      </c>
    </row>
    <row r="69" spans="1:7" ht="24" customHeight="1" thickTop="1" thickBot="1" x14ac:dyDescent="0.45">
      <c r="A69" s="15" t="s">
        <v>134</v>
      </c>
      <c r="B69" s="3" t="s">
        <v>100</v>
      </c>
      <c r="C69" s="23">
        <v>45180</v>
      </c>
      <c r="D69" s="23">
        <v>45453</v>
      </c>
      <c r="E69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274</v>
      </c>
    </row>
    <row r="70" spans="1:7" ht="24" customHeight="1" thickTop="1" thickBot="1" x14ac:dyDescent="0.45">
      <c r="A70" s="15" t="s">
        <v>135</v>
      </c>
      <c r="B70" s="3" t="s">
        <v>105</v>
      </c>
      <c r="C70" s="23">
        <v>45258</v>
      </c>
      <c r="D70" s="23">
        <v>45297</v>
      </c>
      <c r="E70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40</v>
      </c>
    </row>
    <row r="71" spans="1:7" ht="24" customHeight="1" thickTop="1" thickBot="1" x14ac:dyDescent="0.45">
      <c r="A71" s="15" t="s">
        <v>136</v>
      </c>
      <c r="B71" s="3" t="s">
        <v>110</v>
      </c>
      <c r="C71" s="23">
        <v>45262</v>
      </c>
      <c r="D71" s="23">
        <v>45463</v>
      </c>
      <c r="E71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202</v>
      </c>
    </row>
    <row r="72" spans="1:7" ht="24" customHeight="1" thickTop="1" thickBot="1" x14ac:dyDescent="0.45">
      <c r="A72" s="28" t="s">
        <v>137</v>
      </c>
      <c r="B72" s="2" t="s">
        <v>138</v>
      </c>
      <c r="C72" s="23">
        <v>45267</v>
      </c>
      <c r="D72" s="23">
        <v>45605</v>
      </c>
      <c r="E72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339</v>
      </c>
      <c r="F72" s="3" t="s">
        <v>1318</v>
      </c>
      <c r="G72" s="8" t="s">
        <v>1288</v>
      </c>
    </row>
    <row r="73" spans="1:7" ht="24" customHeight="1" thickTop="1" thickBot="1" x14ac:dyDescent="0.45">
      <c r="A73" s="28" t="s">
        <v>1093</v>
      </c>
      <c r="B73" s="2" t="s">
        <v>129</v>
      </c>
      <c r="C73" s="23">
        <v>45286</v>
      </c>
      <c r="D73" s="23">
        <v>45441</v>
      </c>
      <c r="E73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156</v>
      </c>
      <c r="F73" s="3" t="s">
        <v>1337</v>
      </c>
      <c r="G73" s="8"/>
    </row>
    <row r="74" spans="1:7" ht="24" customHeight="1" thickTop="1" thickBot="1" x14ac:dyDescent="0.45">
      <c r="A74" s="28" t="s">
        <v>1094</v>
      </c>
      <c r="B74" s="2" t="s">
        <v>1232</v>
      </c>
      <c r="C74" s="23">
        <v>45302</v>
      </c>
      <c r="D74" s="23">
        <v>45380</v>
      </c>
      <c r="E74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79</v>
      </c>
      <c r="G74" s="8"/>
    </row>
    <row r="75" spans="1:7" ht="24" customHeight="1" thickTop="1" thickBot="1" x14ac:dyDescent="0.45">
      <c r="A75" s="28" t="s">
        <v>1364</v>
      </c>
      <c r="B75" s="2" t="s">
        <v>195</v>
      </c>
      <c r="C75" s="23">
        <v>45339</v>
      </c>
      <c r="D75" s="23">
        <v>45356</v>
      </c>
      <c r="E75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18</v>
      </c>
      <c r="G75" s="8"/>
    </row>
    <row r="76" spans="1:7" ht="24" customHeight="1" thickTop="1" thickBot="1" x14ac:dyDescent="0.45">
      <c r="A76" s="28" t="s">
        <v>139</v>
      </c>
      <c r="B76" s="2" t="s">
        <v>42</v>
      </c>
      <c r="C76" s="23">
        <v>45357</v>
      </c>
      <c r="D76" s="23">
        <v>46231</v>
      </c>
      <c r="E76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875</v>
      </c>
      <c r="G76" s="8" t="s">
        <v>1896</v>
      </c>
    </row>
    <row r="77" spans="1:7" ht="24" customHeight="1" thickTop="1" thickBot="1" x14ac:dyDescent="0.45">
      <c r="A77" s="28" t="s">
        <v>1365</v>
      </c>
      <c r="B77" s="29" t="s">
        <v>1009</v>
      </c>
      <c r="C77" s="30">
        <v>45357</v>
      </c>
      <c r="D77" s="23">
        <v>45453</v>
      </c>
      <c r="E77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97</v>
      </c>
      <c r="G77" s="8"/>
    </row>
    <row r="78" spans="1:7" ht="24" customHeight="1" thickTop="1" thickBot="1" x14ac:dyDescent="0.45">
      <c r="A78" s="15" t="s">
        <v>1366</v>
      </c>
      <c r="B78" s="3" t="s">
        <v>1023</v>
      </c>
      <c r="C78" s="23">
        <v>45358</v>
      </c>
      <c r="D78" s="23">
        <v>45412</v>
      </c>
      <c r="E78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55</v>
      </c>
    </row>
    <row r="79" spans="1:7" ht="24" customHeight="1" thickTop="1" thickBot="1" x14ac:dyDescent="0.45">
      <c r="A79" s="15" t="s">
        <v>140</v>
      </c>
      <c r="B79" s="3" t="s">
        <v>14</v>
      </c>
      <c r="C79" s="23">
        <v>45380</v>
      </c>
      <c r="D79" s="23">
        <v>45529</v>
      </c>
      <c r="E79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150</v>
      </c>
    </row>
    <row r="80" spans="1:7" ht="24" customHeight="1" thickTop="1" thickBot="1" x14ac:dyDescent="0.45">
      <c r="A80" s="15" t="s">
        <v>141</v>
      </c>
      <c r="B80" s="3" t="s">
        <v>36</v>
      </c>
      <c r="C80" s="23">
        <v>45390</v>
      </c>
      <c r="D80" s="23">
        <v>45597</v>
      </c>
      <c r="E80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208</v>
      </c>
    </row>
    <row r="81" spans="1:7" ht="24" customHeight="1" thickTop="1" thickBot="1" x14ac:dyDescent="0.45">
      <c r="A81" s="15" t="s">
        <v>142</v>
      </c>
      <c r="B81" s="3" t="s">
        <v>143</v>
      </c>
      <c r="C81" s="23">
        <v>45402</v>
      </c>
      <c r="D81" s="23">
        <v>45467</v>
      </c>
      <c r="E81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66</v>
      </c>
    </row>
    <row r="82" spans="1:7" ht="24" customHeight="1" thickTop="1" thickBot="1" x14ac:dyDescent="0.45">
      <c r="A82" s="28" t="s">
        <v>144</v>
      </c>
      <c r="B82" s="2" t="s">
        <v>57</v>
      </c>
      <c r="C82" s="23">
        <v>45447</v>
      </c>
      <c r="D82" s="23">
        <v>45635</v>
      </c>
      <c r="E82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189</v>
      </c>
      <c r="G82" s="8"/>
    </row>
    <row r="83" spans="1:7" ht="24" customHeight="1" thickTop="1" thickBot="1" x14ac:dyDescent="0.45">
      <c r="A83" s="15" t="s">
        <v>1092</v>
      </c>
      <c r="B83" s="3" t="s">
        <v>1056</v>
      </c>
      <c r="C83" s="23">
        <v>45448</v>
      </c>
      <c r="D83" s="23">
        <v>45693</v>
      </c>
      <c r="E83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246</v>
      </c>
    </row>
    <row r="84" spans="1:7" ht="24" customHeight="1" thickTop="1" thickBot="1" x14ac:dyDescent="0.45">
      <c r="A84" s="15" t="s">
        <v>145</v>
      </c>
      <c r="B84" s="3" t="s">
        <v>47</v>
      </c>
      <c r="C84" s="23">
        <v>45451</v>
      </c>
      <c r="D84" s="23">
        <v>45847</v>
      </c>
      <c r="E84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397</v>
      </c>
    </row>
    <row r="85" spans="1:7" ht="24" customHeight="1" thickTop="1" thickBot="1" x14ac:dyDescent="0.45">
      <c r="A85" s="15" t="s">
        <v>146</v>
      </c>
      <c r="B85" s="3" t="s">
        <v>147</v>
      </c>
      <c r="C85" s="23">
        <v>45452</v>
      </c>
      <c r="D85" s="23">
        <v>46103</v>
      </c>
      <c r="E85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652</v>
      </c>
      <c r="F85" s="3" t="s">
        <v>1334</v>
      </c>
    </row>
    <row r="86" spans="1:7" ht="24" customHeight="1" thickTop="1" thickBot="1" x14ac:dyDescent="0.45">
      <c r="A86" s="15" t="s">
        <v>148</v>
      </c>
      <c r="B86" s="3" t="s">
        <v>149</v>
      </c>
      <c r="C86" s="23">
        <v>45454</v>
      </c>
      <c r="D86" s="23">
        <v>46091</v>
      </c>
      <c r="E86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638</v>
      </c>
      <c r="F86" s="3" t="s">
        <v>1333</v>
      </c>
    </row>
    <row r="87" spans="1:7" ht="24" customHeight="1" thickTop="1" thickBot="1" x14ac:dyDescent="0.45">
      <c r="A87" s="15" t="s">
        <v>1767</v>
      </c>
      <c r="B87" s="3" t="s">
        <v>1233</v>
      </c>
      <c r="C87" s="23">
        <v>45481</v>
      </c>
      <c r="E87" s="3">
        <f ca="1">_xlfn.LET(
  _xlpm.SROW, 크루[[#This Row],[창단일]],
  _xlpm.EROW, IF(크루[[#This Row],[해체일]]="", 설정!$A$2, 크루[[#This Row],[해체일]]),
  _xlpm.DURA, IF(_xlpm.SROW="", "", MAX(_xlpm.EROW - _xlpm.SROW + 1, 0)),
  _xlpm.DURA
)</f>
        <v>790</v>
      </c>
      <c r="F87" s="3" t="s">
        <v>1768</v>
      </c>
      <c r="G87" s="3" t="s">
        <v>1289</v>
      </c>
    </row>
    <row r="88" spans="1:7" ht="24" customHeight="1" thickTop="1" thickBot="1" x14ac:dyDescent="0.45">
      <c r="A88" s="15" t="s">
        <v>1310</v>
      </c>
      <c r="B88" s="3" t="s">
        <v>90</v>
      </c>
      <c r="C88" s="23">
        <v>45574</v>
      </c>
      <c r="D88" s="23">
        <v>45681</v>
      </c>
      <c r="E88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108</v>
      </c>
    </row>
    <row r="89" spans="1:7" ht="24" customHeight="1" thickTop="1" thickBot="1" x14ac:dyDescent="0.45">
      <c r="A89" s="31" t="s">
        <v>1315</v>
      </c>
      <c r="B89" s="32" t="s">
        <v>1316</v>
      </c>
      <c r="C89" s="33">
        <v>45597</v>
      </c>
      <c r="D89" s="33">
        <v>45664</v>
      </c>
      <c r="E89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68</v>
      </c>
      <c r="F89" s="6" t="s">
        <v>1317</v>
      </c>
      <c r="G89" s="34"/>
    </row>
    <row r="90" spans="1:7" ht="24" customHeight="1" thickTop="1" thickBot="1" x14ac:dyDescent="0.45">
      <c r="A90" s="31" t="s">
        <v>1300</v>
      </c>
      <c r="B90" s="32" t="s">
        <v>1303</v>
      </c>
      <c r="C90" s="33">
        <v>45633</v>
      </c>
      <c r="D90" s="33">
        <v>45635</v>
      </c>
      <c r="E90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3</v>
      </c>
      <c r="F90" s="6"/>
      <c r="G90" s="34"/>
    </row>
    <row r="91" spans="1:7" ht="24" customHeight="1" thickTop="1" thickBot="1" x14ac:dyDescent="0.45">
      <c r="A91" s="31" t="s">
        <v>1309</v>
      </c>
      <c r="B91" s="32" t="s">
        <v>1060</v>
      </c>
      <c r="C91" s="33">
        <v>45635</v>
      </c>
      <c r="D91" s="33">
        <v>45687</v>
      </c>
      <c r="E91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53</v>
      </c>
      <c r="F91" s="6"/>
      <c r="G91" s="34"/>
    </row>
    <row r="92" spans="1:7" ht="24" customHeight="1" thickTop="1" thickBot="1" x14ac:dyDescent="0.45">
      <c r="A92" s="31" t="s">
        <v>1308</v>
      </c>
      <c r="B92" s="32" t="s">
        <v>1057</v>
      </c>
      <c r="C92" s="33">
        <v>45639</v>
      </c>
      <c r="D92" s="33">
        <v>45678</v>
      </c>
      <c r="E92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40</v>
      </c>
      <c r="F92" s="6"/>
      <c r="G92" s="34"/>
    </row>
    <row r="93" spans="1:7" ht="24" customHeight="1" thickTop="1" thickBot="1" x14ac:dyDescent="0.45">
      <c r="A93" s="31" t="s">
        <v>1320</v>
      </c>
      <c r="B93" s="32" t="s">
        <v>1051</v>
      </c>
      <c r="C93" s="33">
        <v>45644</v>
      </c>
      <c r="D93" s="33">
        <v>45671</v>
      </c>
      <c r="E93" s="3" t="s">
        <v>1643</v>
      </c>
      <c r="F93" s="6"/>
      <c r="G93" s="34"/>
    </row>
    <row r="94" spans="1:7" ht="24" customHeight="1" thickTop="1" thickBot="1" x14ac:dyDescent="0.45">
      <c r="A94" s="31" t="s">
        <v>1314</v>
      </c>
      <c r="B94" s="32" t="s">
        <v>130</v>
      </c>
      <c r="C94" s="33">
        <v>45658</v>
      </c>
      <c r="D94" s="33">
        <v>45921</v>
      </c>
      <c r="E94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264</v>
      </c>
      <c r="F94" s="6" t="s">
        <v>1329</v>
      </c>
      <c r="G94" s="34"/>
    </row>
    <row r="95" spans="1:7" ht="24" customHeight="1" thickTop="1" thickBot="1" x14ac:dyDescent="0.45">
      <c r="A95" s="31" t="s">
        <v>19</v>
      </c>
      <c r="B95" s="32" t="s">
        <v>1234</v>
      </c>
      <c r="C95" s="33">
        <v>45670</v>
      </c>
      <c r="D95" s="33"/>
      <c r="E95" s="3">
        <f ca="1">_xlfn.LET(
  _xlpm.SROW, 크루[[#This Row],[창단일]],
  _xlpm.EROW, IF(크루[[#This Row],[해체일]]="", 설정!$A$2, 크루[[#This Row],[해체일]]),
  _xlpm.DURA, IF(_xlpm.SROW="", "", MAX(_xlpm.EROW - _xlpm.SROW + 1, 0)),
  _xlpm.DURA
)</f>
        <v>601</v>
      </c>
      <c r="F95" s="6"/>
      <c r="G95" s="34"/>
    </row>
    <row r="96" spans="1:7" ht="24" customHeight="1" thickTop="1" thickBot="1" x14ac:dyDescent="0.45">
      <c r="A96" s="31" t="s">
        <v>35</v>
      </c>
      <c r="B96" s="32" t="s">
        <v>49</v>
      </c>
      <c r="C96" s="33">
        <v>45691</v>
      </c>
      <c r="D96" s="33"/>
      <c r="E96" s="3">
        <f ca="1">_xlfn.LET(
  _xlpm.SROW, 크루[[#This Row],[창단일]],
  _xlpm.EROW, IF(크루[[#This Row],[해체일]]="", 설정!$A$2, 크루[[#This Row],[해체일]]),
  _xlpm.DURA, IF(_xlpm.SROW="", "", MAX(_xlpm.EROW - _xlpm.SROW + 1, 0)),
  _xlpm.DURA
)</f>
        <v>580</v>
      </c>
      <c r="F96" s="6" t="s">
        <v>1340</v>
      </c>
      <c r="G96" s="34"/>
    </row>
    <row r="97" spans="1:7" ht="24" customHeight="1" thickTop="1" thickBot="1" x14ac:dyDescent="0.45">
      <c r="A97" s="31" t="s">
        <v>150</v>
      </c>
      <c r="B97" s="32" t="s">
        <v>51</v>
      </c>
      <c r="C97" s="33">
        <v>45778</v>
      </c>
      <c r="D97" s="33">
        <v>45796</v>
      </c>
      <c r="E97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19</v>
      </c>
      <c r="F97" s="6"/>
      <c r="G97" s="34"/>
    </row>
    <row r="98" spans="1:7" ht="24" customHeight="1" thickTop="1" thickBot="1" x14ac:dyDescent="0.45">
      <c r="A98" s="31" t="s">
        <v>1319</v>
      </c>
      <c r="B98" s="32" t="s">
        <v>1018</v>
      </c>
      <c r="C98" s="33">
        <v>45797</v>
      </c>
      <c r="D98" s="33">
        <v>45836</v>
      </c>
      <c r="E98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40</v>
      </c>
      <c r="F98" s="6"/>
      <c r="G98" s="34"/>
    </row>
    <row r="99" spans="1:7" ht="24" customHeight="1" thickTop="1" thickBot="1" x14ac:dyDescent="0.45">
      <c r="A99" s="31" t="s">
        <v>27</v>
      </c>
      <c r="B99" s="32" t="s">
        <v>51</v>
      </c>
      <c r="C99" s="33">
        <v>45834</v>
      </c>
      <c r="D99" s="33"/>
      <c r="E99" s="3">
        <f ca="1">_xlfn.LET(
  _xlpm.SROW, 크루[[#This Row],[창단일]],
  _xlpm.EROW, IF(크루[[#This Row],[해체일]]="", 설정!$A$2, 크루[[#This Row],[해체일]]),
  _xlpm.DURA, IF(_xlpm.SROW="", "", MAX(_xlpm.EROW - _xlpm.SROW + 1, 0)),
  _xlpm.DURA
)</f>
        <v>437</v>
      </c>
      <c r="F99" s="6"/>
      <c r="G99" s="34"/>
    </row>
    <row r="100" spans="1:7" ht="24" customHeight="1" thickTop="1" thickBot="1" x14ac:dyDescent="0.45">
      <c r="A100" s="31" t="s">
        <v>15</v>
      </c>
      <c r="B100" s="32" t="s">
        <v>47</v>
      </c>
      <c r="C100" s="33">
        <v>45860</v>
      </c>
      <c r="D100" s="33"/>
      <c r="E100" s="3">
        <f ca="1">_xlfn.LET(
  _xlpm.SROW, 크루[[#This Row],[창단일]],
  _xlpm.EROW, IF(크루[[#This Row],[해체일]]="", 설정!$A$2, 크루[[#This Row],[해체일]]),
  _xlpm.DURA, IF(_xlpm.SROW="", "", MAX(_xlpm.EROW - _xlpm.SROW + 1, 0)),
  _xlpm.DURA
)</f>
        <v>411</v>
      </c>
      <c r="F100" s="6"/>
      <c r="G100" s="34"/>
    </row>
    <row r="101" spans="1:7" ht="24" customHeight="1" thickTop="1" thickBot="1" x14ac:dyDescent="0.45">
      <c r="A101" s="31" t="s">
        <v>151</v>
      </c>
      <c r="B101" s="32" t="s">
        <v>152</v>
      </c>
      <c r="C101" s="33">
        <v>45890</v>
      </c>
      <c r="D101" s="33">
        <v>45946</v>
      </c>
      <c r="E101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57</v>
      </c>
      <c r="F101" s="6"/>
      <c r="G101" s="34"/>
    </row>
    <row r="102" spans="1:7" ht="24" customHeight="1" thickTop="1" thickBot="1" x14ac:dyDescent="0.45">
      <c r="A102" s="31" t="s">
        <v>1105</v>
      </c>
      <c r="B102" s="32" t="s">
        <v>1106</v>
      </c>
      <c r="C102" s="33">
        <v>45923</v>
      </c>
      <c r="D102" s="33">
        <v>45934</v>
      </c>
      <c r="E102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12</v>
      </c>
      <c r="F102" s="6"/>
      <c r="G102" s="34"/>
    </row>
    <row r="103" spans="1:7" ht="24" customHeight="1" thickTop="1" thickBot="1" x14ac:dyDescent="0.45">
      <c r="A103" s="31" t="s">
        <v>153</v>
      </c>
      <c r="B103" s="32" t="s">
        <v>104</v>
      </c>
      <c r="C103" s="35">
        <v>45935</v>
      </c>
      <c r="D103" s="33">
        <v>46031</v>
      </c>
      <c r="E103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97</v>
      </c>
      <c r="F103" s="6"/>
      <c r="G103" s="34"/>
    </row>
    <row r="104" spans="1:7" ht="24" customHeight="1" thickTop="1" thickBot="1" x14ac:dyDescent="0.45">
      <c r="A104" s="31" t="s">
        <v>1367</v>
      </c>
      <c r="B104" s="32" t="s">
        <v>1048</v>
      </c>
      <c r="C104" s="33">
        <v>45953</v>
      </c>
      <c r="D104" s="33">
        <v>45971</v>
      </c>
      <c r="E104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19</v>
      </c>
      <c r="F104" s="6"/>
      <c r="G104" s="34"/>
    </row>
    <row r="105" spans="1:7" ht="24" customHeight="1" thickTop="1" thickBot="1" x14ac:dyDescent="0.45">
      <c r="A105" s="31" t="s">
        <v>1108</v>
      </c>
      <c r="B105" s="32" t="s">
        <v>1109</v>
      </c>
      <c r="C105" s="33">
        <v>45971</v>
      </c>
      <c r="D105" s="33"/>
      <c r="E105" s="3">
        <f ca="1">_xlfn.LET(
  _xlpm.SROW, 크루[[#This Row],[창단일]],
  _xlpm.EROW, IF(크루[[#This Row],[해체일]]="", 설정!$A$2, 크루[[#This Row],[해체일]]),
  _xlpm.DURA, IF(_xlpm.SROW="", "", MAX(_xlpm.EROW - _xlpm.SROW + 1, 0)),
  _xlpm.DURA
)</f>
        <v>300</v>
      </c>
      <c r="F105" s="6"/>
      <c r="G105" s="34"/>
    </row>
    <row r="106" spans="1:7" ht="24" customHeight="1" thickTop="1" thickBot="1" x14ac:dyDescent="0.45">
      <c r="A106" s="31" t="s">
        <v>1395</v>
      </c>
      <c r="B106" s="32" t="s">
        <v>1396</v>
      </c>
      <c r="C106" s="33">
        <v>46009</v>
      </c>
      <c r="D106" s="33"/>
      <c r="E106" s="3">
        <f ca="1">_xlfn.LET(
  _xlpm.SROW, 크루[[#This Row],[창단일]],
  _xlpm.EROW, IF(크루[[#This Row],[해체일]]="", 설정!$A$2, 크루[[#This Row],[해체일]]),
  _xlpm.DURA, IF(_xlpm.SROW="", "", MAX(_xlpm.EROW - _xlpm.SROW + 1, 0)),
  _xlpm.DURA
)</f>
        <v>262</v>
      </c>
      <c r="F106" s="6"/>
      <c r="G106" s="34"/>
    </row>
    <row r="107" spans="1:7" ht="24" customHeight="1" thickTop="1" thickBot="1" x14ac:dyDescent="0.45">
      <c r="A107" s="31" t="s">
        <v>1679</v>
      </c>
      <c r="B107" s="32" t="s">
        <v>149</v>
      </c>
      <c r="C107" s="33">
        <v>46092</v>
      </c>
      <c r="D107" s="33">
        <v>46103</v>
      </c>
      <c r="E107" s="6">
        <f>_xlfn.LET(
  _xlpm.SROW, 크루[[#This Row],[창단일]],
  _xlpm.EROW, IF(크루[[#This Row],[해체일]]="", 설정!$A$2, 크루[[#This Row],[해체일]]),
  _xlpm.DURA, IF(_xlpm.SROW="", "", MAX(_xlpm.EROW - _xlpm.SROW + 1, 0)),
  _xlpm.DURA
)</f>
        <v>12</v>
      </c>
      <c r="F107" s="6"/>
      <c r="G107" s="34"/>
    </row>
    <row r="108" spans="1:7" ht="24" customHeight="1" thickTop="1" thickBot="1" x14ac:dyDescent="0.45">
      <c r="A108" s="28" t="s">
        <v>2094</v>
      </c>
      <c r="B108" s="2" t="s">
        <v>1243</v>
      </c>
      <c r="C108" s="23">
        <v>46106</v>
      </c>
      <c r="D108" s="23">
        <v>46215</v>
      </c>
      <c r="E108" s="3">
        <f>_xlfn.LET(
  _xlpm.SROW, 크루[[#This Row],[창단일]],
  _xlpm.EROW, IF(크루[[#This Row],[해체일]]="", 설정!$A$2, 크루[[#This Row],[해체일]]),
  _xlpm.DURA, IF(_xlpm.SROW="", "", MAX(_xlpm.EROW - _xlpm.SROW + 1, 0)),
  _xlpm.DURA
)</f>
        <v>110</v>
      </c>
      <c r="G108" s="8"/>
    </row>
    <row r="109" spans="1:7" ht="24" customHeight="1" thickTop="1" thickBot="1" x14ac:dyDescent="0.45">
      <c r="A109" s="31" t="s">
        <v>1750</v>
      </c>
      <c r="B109" s="32" t="s">
        <v>1728</v>
      </c>
      <c r="C109" s="33">
        <v>46108</v>
      </c>
      <c r="D109" s="33"/>
      <c r="E109" s="6">
        <f ca="1">_xlfn.LET(
  _xlpm.SROW, 크루[[#This Row],[창단일]],
  _xlpm.EROW, IF(크루[[#This Row],[해체일]]="", 설정!$A$2, 크루[[#This Row],[해체일]]),
  _xlpm.DURA, IF(_xlpm.SROW="", "", MAX(_xlpm.EROW - _xlpm.SROW + 1, 0)),
  _xlpm.DURA
)</f>
        <v>163</v>
      </c>
      <c r="F109" s="6"/>
      <c r="G109" s="34"/>
    </row>
    <row r="110" spans="1:7" ht="24" customHeight="1" thickTop="1" thickBot="1" x14ac:dyDescent="0.45">
      <c r="A110" s="31" t="s">
        <v>1762</v>
      </c>
      <c r="B110" s="32" t="s">
        <v>1763</v>
      </c>
      <c r="C110" s="33">
        <v>46197</v>
      </c>
      <c r="D110" s="33"/>
      <c r="E110" s="6">
        <f ca="1">_xlfn.LET(
  _xlpm.SROW, 크루[[#This Row],[창단일]],
  _xlpm.EROW, IF(크루[[#This Row],[해체일]]="", 설정!$A$2, 크루[[#This Row],[해체일]]),
  _xlpm.DURA, IF(_xlpm.SROW="", "", MAX(_xlpm.EROW - _xlpm.SROW + 1, 0)),
  _xlpm.DURA
)</f>
        <v>74</v>
      </c>
      <c r="F110" s="6"/>
      <c r="G110" s="34"/>
    </row>
    <row r="111" spans="1:7" ht="24" customHeight="1" thickTop="1" thickBot="1" x14ac:dyDescent="0.45">
      <c r="A111" s="31" t="s">
        <v>1783</v>
      </c>
      <c r="B111" s="32" t="s">
        <v>115</v>
      </c>
      <c r="C111" s="33">
        <v>46237</v>
      </c>
      <c r="D111" s="33"/>
      <c r="E111" s="6">
        <f ca="1">_xlfn.LET(
  _xlpm.SROW, 크루[[#This Row],[창단일]],
  _xlpm.EROW, IF(크루[[#This Row],[해체일]]="", 설정!$A$2, 크루[[#This Row],[해체일]]),
  _xlpm.DURA, IF(_xlpm.SROW="", "", MAX(_xlpm.EROW - _xlpm.SROW + 1, 0)),
  _xlpm.DURA
)</f>
        <v>34</v>
      </c>
      <c r="F111" s="6"/>
      <c r="G111" s="34"/>
    </row>
    <row r="112" spans="1:7" ht="24" customHeight="1" thickTop="1" thickBot="1" x14ac:dyDescent="0.45">
      <c r="A112" s="31" t="s">
        <v>1765</v>
      </c>
      <c r="B112" s="32" t="s">
        <v>1059</v>
      </c>
      <c r="C112" s="33">
        <v>46241</v>
      </c>
      <c r="D112" s="33"/>
      <c r="E112" s="6">
        <f ca="1">_xlfn.LET(
  _xlpm.SROW, 크루[[#This Row],[창단일]],
  _xlpm.EROW, IF(크루[[#This Row],[해체일]]="", 설정!$A$2, 크루[[#This Row],[해체일]]),
  _xlpm.DURA, IF(_xlpm.SROW="", "", MAX(_xlpm.EROW - _xlpm.SROW + 1, 0)),
  _xlpm.DURA
)</f>
        <v>30</v>
      </c>
      <c r="F112" s="6"/>
      <c r="G112" s="34"/>
    </row>
  </sheetData>
  <phoneticPr fontId="1" type="noConversion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4A91A-04F9-4591-AE42-6222A443C759}">
  <sheetPr codeName="Sheet04"/>
  <dimension ref="A1:K47"/>
  <sheetViews>
    <sheetView topLeftCell="A29" zoomScale="70" zoomScaleNormal="70" workbookViewId="0">
      <selection activeCell="I43" sqref="I43"/>
    </sheetView>
  </sheetViews>
  <sheetFormatPr defaultColWidth="15.69921875" defaultRowHeight="24" customHeight="1" thickTop="1" thickBottom="1" x14ac:dyDescent="0.45"/>
  <cols>
    <col min="1" max="1" width="15.69921875" style="15" customWidth="1"/>
    <col min="2" max="2" width="15.69921875" style="3" customWidth="1"/>
    <col min="3" max="3" width="15.69921875" style="23" customWidth="1"/>
    <col min="4" max="7" width="15.69921875" style="3" customWidth="1"/>
    <col min="8" max="9" width="15.69921875" style="23" customWidth="1"/>
    <col min="10" max="11" width="15.69921875" style="3" customWidth="1"/>
    <col min="12" max="16384" width="15.69921875" style="3"/>
  </cols>
  <sheetData>
    <row r="1" spans="1:11" ht="24" customHeight="1" thickTop="1" thickBot="1" x14ac:dyDescent="0.45">
      <c r="A1" s="36" t="s">
        <v>68</v>
      </c>
      <c r="B1" s="37" t="s">
        <v>154</v>
      </c>
      <c r="C1" s="38" t="s">
        <v>70</v>
      </c>
      <c r="D1" s="37" t="s">
        <v>156</v>
      </c>
      <c r="E1" s="37" t="s">
        <v>157</v>
      </c>
      <c r="F1" s="37" t="s">
        <v>1327</v>
      </c>
      <c r="G1" s="37" t="s">
        <v>1375</v>
      </c>
      <c r="H1" s="38" t="s">
        <v>1325</v>
      </c>
      <c r="I1" s="38" t="s">
        <v>1326</v>
      </c>
      <c r="J1" s="37" t="s">
        <v>158</v>
      </c>
      <c r="K1" s="37" t="s">
        <v>159</v>
      </c>
    </row>
    <row r="2" spans="1:11" ht="24" customHeight="1" thickTop="1" thickBot="1" x14ac:dyDescent="0.45">
      <c r="A2" s="27" t="s">
        <v>160</v>
      </c>
      <c r="B2" s="42" t="s">
        <v>161</v>
      </c>
      <c r="C2" s="24">
        <v>32672</v>
      </c>
      <c r="D2" s="14" t="s">
        <v>162</v>
      </c>
      <c r="E2" s="14" t="s">
        <v>163</v>
      </c>
      <c r="F2" s="14" t="s">
        <v>164</v>
      </c>
      <c r="G2" s="14" t="s">
        <v>1371</v>
      </c>
      <c r="H2" s="24">
        <v>45481</v>
      </c>
      <c r="I2" s="24"/>
      <c r="J2" s="14">
        <f ca="1">_xlfn.LET(
  _xlpm.SROW, 멤버[[#This Row],[입단일]],
  _xlpm.EROW, IF(멤버[[#This Row],[퇴단일]]="", 설정!$A$2, 멤버[[#This Row],[퇴단일]]),
  _xlpm.DURA, IF(_xlpm.SROW="", "", MAX(_xlpm.EROW - _xlpm.SROW + 1, 0)),
  _xlpm.DURA
)</f>
        <v>790</v>
      </c>
      <c r="K2" s="14" t="str" cm="1">
        <f t="array" aca="1" ref="K2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S1, S2, S3, S4, S5, C1, C2</v>
      </c>
    </row>
    <row r="3" spans="1:11" ht="24" customHeight="1" thickTop="1" thickBot="1" x14ac:dyDescent="0.45">
      <c r="A3" s="15" t="s">
        <v>165</v>
      </c>
      <c r="B3" s="4" t="s">
        <v>1066</v>
      </c>
      <c r="C3" s="23">
        <v>33618</v>
      </c>
      <c r="D3" s="3" t="s">
        <v>162</v>
      </c>
      <c r="E3" s="3" t="s">
        <v>166</v>
      </c>
      <c r="F3" s="3" t="s">
        <v>164</v>
      </c>
      <c r="G3" s="3" t="s">
        <v>1371</v>
      </c>
      <c r="H3" s="23">
        <v>45481</v>
      </c>
      <c r="I3" s="23">
        <v>46146</v>
      </c>
      <c r="J3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666</v>
      </c>
      <c r="K3" s="14" t="str" cm="1">
        <f t="array" aca="1" ref="K3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S1, S2, S3, S4, S5</v>
      </c>
    </row>
    <row r="4" spans="1:11" ht="24" customHeight="1" thickTop="1" thickBot="1" x14ac:dyDescent="0.45">
      <c r="A4" s="15" t="s">
        <v>167</v>
      </c>
      <c r="B4" s="4" t="s">
        <v>1016</v>
      </c>
      <c r="C4" s="23">
        <v>36350</v>
      </c>
      <c r="D4" s="3" t="s">
        <v>72</v>
      </c>
      <c r="E4" s="3" t="s">
        <v>166</v>
      </c>
      <c r="F4" s="3">
        <v>3</v>
      </c>
      <c r="G4" s="3" t="s">
        <v>1373</v>
      </c>
      <c r="H4" s="23">
        <v>45482</v>
      </c>
      <c r="I4" s="23">
        <v>45665</v>
      </c>
      <c r="J4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184</v>
      </c>
      <c r="K4" s="14" t="str" cm="1">
        <f t="array" aca="1" ref="K4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5" spans="1:11" ht="24" customHeight="1" thickTop="1" thickBot="1" x14ac:dyDescent="0.45">
      <c r="A5" s="15" t="s">
        <v>168</v>
      </c>
      <c r="B5" s="4" t="s">
        <v>1025</v>
      </c>
      <c r="C5" s="23">
        <v>36983</v>
      </c>
      <c r="D5" s="3" t="s">
        <v>72</v>
      </c>
      <c r="E5" s="3" t="s">
        <v>166</v>
      </c>
      <c r="F5" s="3">
        <v>5</v>
      </c>
      <c r="G5" s="3" t="s">
        <v>1372</v>
      </c>
      <c r="H5" s="23">
        <v>45482</v>
      </c>
      <c r="I5" s="23">
        <v>45852</v>
      </c>
      <c r="J5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371</v>
      </c>
      <c r="K5" s="14" t="str" cm="1">
        <f t="array" aca="1" ref="K5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6" spans="1:11" ht="24" customHeight="1" thickTop="1" thickBot="1" x14ac:dyDescent="0.45">
      <c r="A6" s="15" t="s">
        <v>169</v>
      </c>
      <c r="B6" s="4" t="s">
        <v>1008</v>
      </c>
      <c r="C6" s="23">
        <v>35520</v>
      </c>
      <c r="D6" s="3" t="s">
        <v>72</v>
      </c>
      <c r="E6" s="3" t="s">
        <v>163</v>
      </c>
      <c r="F6" s="3">
        <v>4</v>
      </c>
      <c r="G6" s="3" t="s">
        <v>1372</v>
      </c>
      <c r="H6" s="23">
        <v>45485</v>
      </c>
      <c r="I6" s="23">
        <v>45852</v>
      </c>
      <c r="J6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368</v>
      </c>
      <c r="K6" s="14" t="str" cm="1">
        <f t="array" aca="1" ref="K6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7" spans="1:11" ht="24" customHeight="1" thickTop="1" thickBot="1" x14ac:dyDescent="0.45">
      <c r="A7" s="15" t="s">
        <v>69</v>
      </c>
      <c r="B7" s="4" t="s">
        <v>1014</v>
      </c>
      <c r="C7" s="23">
        <v>36377</v>
      </c>
      <c r="D7" s="3" t="s">
        <v>72</v>
      </c>
      <c r="E7" s="3" t="s">
        <v>166</v>
      </c>
      <c r="F7" s="3">
        <v>4</v>
      </c>
      <c r="G7" s="3" t="s">
        <v>1372</v>
      </c>
      <c r="H7" s="23">
        <v>45490</v>
      </c>
      <c r="J7" s="14">
        <f ca="1">_xlfn.LET(
  _xlpm.SROW, 멤버[[#This Row],[입단일]],
  _xlpm.EROW, IF(멤버[[#This Row],[퇴단일]]="", 설정!$A$2, 멤버[[#This Row],[퇴단일]]),
  _xlpm.DURA, IF(_xlpm.SROW="", "", MAX(_xlpm.EROW - _xlpm.SROW + 1, 0)),
  _xlpm.DURA
)</f>
        <v>781</v>
      </c>
      <c r="K7" s="14" t="str" cm="1">
        <f t="array" aca="1" ref="K7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S1, S2, S3, S4, S5, C1, C2</v>
      </c>
    </row>
    <row r="8" spans="1:11" ht="24" customHeight="1" thickTop="1" thickBot="1" x14ac:dyDescent="0.45">
      <c r="A8" s="15" t="s">
        <v>170</v>
      </c>
      <c r="B8" s="4" t="s">
        <v>1040</v>
      </c>
      <c r="C8" s="23">
        <v>36110</v>
      </c>
      <c r="D8" s="3" t="s">
        <v>72</v>
      </c>
      <c r="E8" s="3" t="s">
        <v>163</v>
      </c>
      <c r="F8" s="3" t="s">
        <v>171</v>
      </c>
      <c r="G8" s="3" t="s">
        <v>1374</v>
      </c>
      <c r="H8" s="23">
        <v>45490</v>
      </c>
      <c r="J8" s="14">
        <f ca="1">_xlfn.LET(
  _xlpm.SROW, 멤버[[#This Row],[입단일]],
  _xlpm.EROW, IF(멤버[[#This Row],[퇴단일]]="", 설정!$A$2, 멤버[[#This Row],[퇴단일]]),
  _xlpm.DURA, IF(_xlpm.SROW="", "", MAX(_xlpm.EROW - _xlpm.SROW + 1, 0)),
  _xlpm.DURA
)</f>
        <v>781</v>
      </c>
      <c r="K8" s="14" t="str" cm="1">
        <f t="array" aca="1" ref="K8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S1, S2, S3, S4, S5, C1, C2</v>
      </c>
    </row>
    <row r="9" spans="1:11" ht="24" customHeight="1" thickTop="1" thickBot="1" x14ac:dyDescent="0.45">
      <c r="A9" s="15" t="s">
        <v>172</v>
      </c>
      <c r="B9" s="3" t="s">
        <v>1263</v>
      </c>
      <c r="C9" s="23">
        <v>36483</v>
      </c>
      <c r="D9" s="3" t="s">
        <v>72</v>
      </c>
      <c r="E9" s="3" t="s">
        <v>166</v>
      </c>
      <c r="F9" s="3" t="s">
        <v>171</v>
      </c>
      <c r="G9" s="3" t="s">
        <v>171</v>
      </c>
      <c r="H9" s="23">
        <v>45493</v>
      </c>
      <c r="I9" s="23">
        <v>45493</v>
      </c>
      <c r="J9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1</v>
      </c>
      <c r="K9" s="14" t="str" cm="1">
        <f t="array" aca="1" ref="K9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S1</v>
      </c>
    </row>
    <row r="10" spans="1:11" ht="24" customHeight="1" thickTop="1" thickBot="1" x14ac:dyDescent="0.45">
      <c r="A10" s="15" t="s">
        <v>173</v>
      </c>
      <c r="B10" s="4" t="s">
        <v>1042</v>
      </c>
      <c r="C10" s="23">
        <v>35923</v>
      </c>
      <c r="D10" s="3" t="s">
        <v>72</v>
      </c>
      <c r="E10" s="3" t="s">
        <v>166</v>
      </c>
      <c r="F10" s="3" t="s">
        <v>171</v>
      </c>
      <c r="G10" s="3" t="s">
        <v>1374</v>
      </c>
      <c r="H10" s="23">
        <v>45511</v>
      </c>
      <c r="I10" s="23">
        <v>45852</v>
      </c>
      <c r="J10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342</v>
      </c>
      <c r="K10" s="14" t="str" cm="1">
        <f t="array" aca="1" ref="K10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11" spans="1:11" ht="24" customHeight="1" thickTop="1" thickBot="1" x14ac:dyDescent="0.45">
      <c r="A11" s="15" t="s">
        <v>174</v>
      </c>
      <c r="B11" s="4" t="s">
        <v>1041</v>
      </c>
      <c r="C11" s="23">
        <v>34786</v>
      </c>
      <c r="D11" s="3" t="s">
        <v>72</v>
      </c>
      <c r="E11" s="3" t="s">
        <v>166</v>
      </c>
      <c r="F11" s="3" t="s">
        <v>171</v>
      </c>
      <c r="G11" s="3" t="s">
        <v>1374</v>
      </c>
      <c r="H11" s="23">
        <v>45511</v>
      </c>
      <c r="I11" s="23">
        <v>45852</v>
      </c>
      <c r="J11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342</v>
      </c>
      <c r="K11" s="14" t="str" cm="1">
        <f t="array" aca="1" ref="K11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12" spans="1:11" ht="24" customHeight="1" thickTop="1" thickBot="1" x14ac:dyDescent="0.45">
      <c r="A12" s="15" t="s">
        <v>175</v>
      </c>
      <c r="B12" s="3" t="s">
        <v>1071</v>
      </c>
      <c r="C12" s="23">
        <v>33741</v>
      </c>
      <c r="D12" s="3" t="s">
        <v>162</v>
      </c>
      <c r="E12" s="3" t="s">
        <v>176</v>
      </c>
      <c r="F12" s="3" t="s">
        <v>177</v>
      </c>
      <c r="G12" s="3" t="s">
        <v>1370</v>
      </c>
      <c r="H12" s="23">
        <v>45521</v>
      </c>
      <c r="I12" s="23">
        <v>45852</v>
      </c>
      <c r="J12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332</v>
      </c>
      <c r="K12" s="14" t="str" cm="1">
        <f t="array" aca="1" ref="K12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13" spans="1:11" ht="24" customHeight="1" thickTop="1" thickBot="1" x14ac:dyDescent="0.45">
      <c r="A13" s="15" t="s">
        <v>178</v>
      </c>
      <c r="B13" s="3" t="s">
        <v>1034</v>
      </c>
      <c r="C13" s="23">
        <v>37343</v>
      </c>
      <c r="D13" s="3" t="s">
        <v>72</v>
      </c>
      <c r="E13" s="3" t="s">
        <v>176</v>
      </c>
      <c r="F13" s="3">
        <v>7</v>
      </c>
      <c r="G13" s="3" t="s">
        <v>1372</v>
      </c>
      <c r="H13" s="23">
        <v>45521</v>
      </c>
      <c r="I13" s="23">
        <v>45959</v>
      </c>
      <c r="J13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439</v>
      </c>
      <c r="K13" s="14" t="str" cm="1">
        <f t="array" aca="1" ref="K13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S1, S2, S3</v>
      </c>
    </row>
    <row r="14" spans="1:11" ht="24" customHeight="1" thickTop="1" thickBot="1" x14ac:dyDescent="0.45">
      <c r="A14" s="15" t="s">
        <v>179</v>
      </c>
      <c r="B14" s="4" t="s">
        <v>1035</v>
      </c>
      <c r="C14" s="23">
        <v>36862</v>
      </c>
      <c r="D14" s="3" t="s">
        <v>72</v>
      </c>
      <c r="E14" s="3" t="s">
        <v>163</v>
      </c>
      <c r="F14" s="3">
        <v>7</v>
      </c>
      <c r="G14" s="3" t="s">
        <v>1372</v>
      </c>
      <c r="H14" s="23">
        <v>45523</v>
      </c>
      <c r="I14" s="23">
        <v>46269</v>
      </c>
      <c r="J14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747</v>
      </c>
      <c r="K14" s="14" t="str" cm="1">
        <f t="array" aca="1" ref="K14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S1, S2, S3, S4, S5, C1</v>
      </c>
    </row>
    <row r="15" spans="1:11" ht="24" customHeight="1" thickTop="1" thickBot="1" x14ac:dyDescent="0.45">
      <c r="A15" s="15" t="s">
        <v>180</v>
      </c>
      <c r="B15" s="4" t="s">
        <v>1015</v>
      </c>
      <c r="C15" s="23">
        <v>34705</v>
      </c>
      <c r="D15" s="3" t="s">
        <v>72</v>
      </c>
      <c r="E15" s="3" t="s">
        <v>176</v>
      </c>
      <c r="F15" s="3">
        <v>5</v>
      </c>
      <c r="G15" s="3" t="s">
        <v>1372</v>
      </c>
      <c r="H15" s="23">
        <v>45536</v>
      </c>
      <c r="I15" s="23">
        <v>45560</v>
      </c>
      <c r="J15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25</v>
      </c>
      <c r="K15" s="14" t="str" cm="1">
        <f t="array" aca="1" ref="K15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S1</v>
      </c>
    </row>
    <row r="16" spans="1:11" ht="24" customHeight="1" thickTop="1" thickBot="1" x14ac:dyDescent="0.45">
      <c r="A16" s="15" t="s">
        <v>181</v>
      </c>
      <c r="B16" s="3" t="s">
        <v>1017</v>
      </c>
      <c r="C16" s="23">
        <v>35214</v>
      </c>
      <c r="D16" s="3" t="s">
        <v>162</v>
      </c>
      <c r="E16" s="3" t="s">
        <v>166</v>
      </c>
      <c r="F16" s="3">
        <v>1</v>
      </c>
      <c r="G16" s="3" t="s">
        <v>1370</v>
      </c>
      <c r="H16" s="23">
        <v>45565</v>
      </c>
      <c r="I16" s="23">
        <v>46095</v>
      </c>
      <c r="J16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531</v>
      </c>
      <c r="K16" s="14" t="str" cm="1">
        <f t="array" aca="1" ref="K16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S1, S2, S3, S4</v>
      </c>
    </row>
    <row r="17" spans="1:11" ht="24" customHeight="1" thickTop="1" thickBot="1" x14ac:dyDescent="0.45">
      <c r="A17" s="15" t="s">
        <v>182</v>
      </c>
      <c r="B17" s="4" t="s">
        <v>1068</v>
      </c>
      <c r="C17" s="23">
        <v>33779</v>
      </c>
      <c r="D17" s="3" t="s">
        <v>162</v>
      </c>
      <c r="E17" s="3" t="s">
        <v>163</v>
      </c>
      <c r="F17" s="3" t="s">
        <v>177</v>
      </c>
      <c r="G17" s="3" t="s">
        <v>1370</v>
      </c>
      <c r="H17" s="23">
        <v>45583</v>
      </c>
      <c r="J17" s="14">
        <f ca="1">_xlfn.LET(
  _xlpm.SROW, 멤버[[#This Row],[입단일]],
  _xlpm.EROW, IF(멤버[[#This Row],[퇴단일]]="", 설정!$A$2, 멤버[[#This Row],[퇴단일]]),
  _xlpm.DURA, IF(_xlpm.SROW="", "", MAX(_xlpm.EROW - _xlpm.SROW + 1, 0)),
  _xlpm.DURA
)</f>
        <v>688</v>
      </c>
      <c r="K17" s="14" t="str" cm="1">
        <f t="array" aca="1" ref="K17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S1, S2, S3, S4, S5, C1, C2</v>
      </c>
    </row>
    <row r="18" spans="1:11" ht="24" customHeight="1" thickTop="1" thickBot="1" x14ac:dyDescent="0.45">
      <c r="A18" s="15" t="s">
        <v>183</v>
      </c>
      <c r="B18" s="4" t="s">
        <v>1069</v>
      </c>
      <c r="C18" s="23">
        <v>33830</v>
      </c>
      <c r="D18" s="3" t="s">
        <v>162</v>
      </c>
      <c r="E18" s="3" t="s">
        <v>166</v>
      </c>
      <c r="F18" s="3" t="s">
        <v>184</v>
      </c>
      <c r="G18" s="3" t="s">
        <v>1405</v>
      </c>
      <c r="H18" s="23">
        <v>45596</v>
      </c>
      <c r="I18" s="33">
        <v>46036</v>
      </c>
      <c r="J18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441</v>
      </c>
      <c r="K18" s="14" t="str" cm="1">
        <f t="array" aca="1" ref="K18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S2, S3, S4</v>
      </c>
    </row>
    <row r="19" spans="1:11" ht="24" customHeight="1" thickTop="1" thickBot="1" x14ac:dyDescent="0.45">
      <c r="A19" s="15" t="s">
        <v>185</v>
      </c>
      <c r="B19" s="4" t="s">
        <v>1076</v>
      </c>
      <c r="C19" s="23">
        <v>32663</v>
      </c>
      <c r="D19" s="3" t="s">
        <v>72</v>
      </c>
      <c r="E19" s="3" t="s">
        <v>163</v>
      </c>
      <c r="F19" s="3">
        <v>2</v>
      </c>
      <c r="G19" s="3" t="s">
        <v>1373</v>
      </c>
      <c r="H19" s="23">
        <v>45598</v>
      </c>
      <c r="I19" s="23">
        <v>45852</v>
      </c>
      <c r="J19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255</v>
      </c>
      <c r="K19" s="14" t="str" cm="1">
        <f t="array" aca="1" ref="K19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S2</v>
      </c>
    </row>
    <row r="20" spans="1:11" ht="24" customHeight="1" thickTop="1" thickBot="1" x14ac:dyDescent="0.45">
      <c r="A20" s="15" t="s">
        <v>187</v>
      </c>
      <c r="B20" s="3" t="s">
        <v>1044</v>
      </c>
      <c r="C20" s="23">
        <v>38637</v>
      </c>
      <c r="D20" s="3" t="s">
        <v>72</v>
      </c>
      <c r="E20" s="3" t="s">
        <v>176</v>
      </c>
      <c r="F20" s="3" t="s">
        <v>171</v>
      </c>
      <c r="G20" s="3" t="s">
        <v>1378</v>
      </c>
      <c r="H20" s="23">
        <v>45709</v>
      </c>
      <c r="I20" s="23">
        <v>45820</v>
      </c>
      <c r="J20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112</v>
      </c>
      <c r="K20" s="14" t="str" cm="1">
        <f t="array" aca="1" ref="K20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S2</v>
      </c>
    </row>
    <row r="21" spans="1:11" ht="24" customHeight="1" thickTop="1" thickBot="1" x14ac:dyDescent="0.45">
      <c r="A21" s="15" t="s">
        <v>1678</v>
      </c>
      <c r="B21" s="4" t="s">
        <v>1043</v>
      </c>
      <c r="C21" s="23">
        <v>36904</v>
      </c>
      <c r="D21" s="3" t="s">
        <v>72</v>
      </c>
      <c r="E21" s="3" t="s">
        <v>1239</v>
      </c>
      <c r="F21" s="3" t="s">
        <v>171</v>
      </c>
      <c r="G21" s="3" t="s">
        <v>1377</v>
      </c>
      <c r="H21" s="23">
        <v>45709</v>
      </c>
      <c r="I21" s="23">
        <v>45723</v>
      </c>
      <c r="J21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15</v>
      </c>
      <c r="K21" s="14" t="str" cm="1">
        <f t="array" aca="1" ref="K21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S2</v>
      </c>
    </row>
    <row r="22" spans="1:11" ht="24" customHeight="1" thickTop="1" thickBot="1" x14ac:dyDescent="0.45">
      <c r="A22" s="15" t="s">
        <v>186</v>
      </c>
      <c r="B22" s="4" t="s">
        <v>1010</v>
      </c>
      <c r="C22" s="23">
        <v>33526</v>
      </c>
      <c r="D22" s="3" t="s">
        <v>72</v>
      </c>
      <c r="E22" s="3" t="s">
        <v>163</v>
      </c>
      <c r="F22" s="3">
        <v>3</v>
      </c>
      <c r="G22" s="3" t="s">
        <v>1373</v>
      </c>
      <c r="H22" s="23">
        <v>45716</v>
      </c>
      <c r="I22" s="33">
        <v>46039</v>
      </c>
      <c r="J22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324</v>
      </c>
      <c r="K22" s="14" t="str" cm="1">
        <f t="array" aca="1" ref="K22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S2, S3, S4</v>
      </c>
    </row>
    <row r="23" spans="1:11" ht="24" customHeight="1" thickTop="1" thickBot="1" x14ac:dyDescent="0.45">
      <c r="A23" s="15" t="s">
        <v>188</v>
      </c>
      <c r="B23" s="3" t="s">
        <v>1045</v>
      </c>
      <c r="C23" s="23">
        <v>35908</v>
      </c>
      <c r="D23" s="3" t="s">
        <v>72</v>
      </c>
      <c r="E23" s="3" t="s">
        <v>166</v>
      </c>
      <c r="F23" s="3" t="s">
        <v>171</v>
      </c>
      <c r="G23" s="3" t="s">
        <v>1374</v>
      </c>
      <c r="H23" s="23">
        <v>45722</v>
      </c>
      <c r="I23" s="23">
        <v>45959</v>
      </c>
      <c r="J23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238</v>
      </c>
      <c r="K23" s="14" t="str" cm="1">
        <f t="array" aca="1" ref="K23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S2, S3</v>
      </c>
    </row>
    <row r="24" spans="1:11" ht="24" customHeight="1" thickTop="1" thickBot="1" x14ac:dyDescent="0.45">
      <c r="A24" s="15" t="s">
        <v>189</v>
      </c>
      <c r="B24" s="3" t="s">
        <v>1065</v>
      </c>
      <c r="C24" s="23">
        <v>34004</v>
      </c>
      <c r="D24" s="3" t="s">
        <v>162</v>
      </c>
      <c r="E24" s="3" t="s">
        <v>176</v>
      </c>
      <c r="F24" s="3" t="s">
        <v>164</v>
      </c>
      <c r="G24" s="3" t="s">
        <v>1370</v>
      </c>
      <c r="H24" s="23">
        <v>45864</v>
      </c>
      <c r="I24" s="23">
        <v>46269</v>
      </c>
      <c r="J24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406</v>
      </c>
      <c r="K24" s="14" t="str" cm="1">
        <f t="array" aca="1" ref="K24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S3, S4, S5, C1</v>
      </c>
    </row>
    <row r="25" spans="1:11" ht="24" customHeight="1" thickTop="1" thickBot="1" x14ac:dyDescent="0.45">
      <c r="A25" s="15" t="s">
        <v>190</v>
      </c>
      <c r="B25" s="4" t="s">
        <v>1063</v>
      </c>
      <c r="C25" s="23">
        <v>33443</v>
      </c>
      <c r="D25" s="3" t="s">
        <v>162</v>
      </c>
      <c r="E25" s="3" t="s">
        <v>176</v>
      </c>
      <c r="F25" s="3" t="s">
        <v>184</v>
      </c>
      <c r="G25" s="3" t="s">
        <v>1370</v>
      </c>
      <c r="H25" s="23">
        <v>45864</v>
      </c>
      <c r="I25" s="23">
        <v>46095</v>
      </c>
      <c r="J25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232</v>
      </c>
      <c r="K25" s="14" t="str" cm="1">
        <f t="array" aca="1" ref="K25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S3, S4</v>
      </c>
    </row>
    <row r="26" spans="1:11" ht="24" customHeight="1" thickTop="1" thickBot="1" x14ac:dyDescent="0.45">
      <c r="A26" s="15" t="s">
        <v>191</v>
      </c>
      <c r="B26" s="4" t="s">
        <v>1043</v>
      </c>
      <c r="C26" s="23">
        <v>36904</v>
      </c>
      <c r="D26" s="3" t="s">
        <v>72</v>
      </c>
      <c r="E26" s="3" t="s">
        <v>166</v>
      </c>
      <c r="F26" s="3" t="s">
        <v>171</v>
      </c>
      <c r="G26" s="3" t="s">
        <v>1374</v>
      </c>
      <c r="H26" s="23">
        <v>45865</v>
      </c>
      <c r="I26" s="23">
        <v>46201</v>
      </c>
      <c r="J26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337</v>
      </c>
      <c r="K26" s="14" t="str" cm="1">
        <f t="array" aca="1" ref="K26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S3, S4, S5, C1</v>
      </c>
    </row>
    <row r="27" spans="1:11" ht="24" customHeight="1" thickTop="1" thickBot="1" x14ac:dyDescent="0.45">
      <c r="A27" s="15" t="s">
        <v>192</v>
      </c>
      <c r="B27" s="4" t="s">
        <v>1031</v>
      </c>
      <c r="C27" s="23">
        <v>35646</v>
      </c>
      <c r="D27" s="3" t="s">
        <v>72</v>
      </c>
      <c r="E27" s="3" t="s">
        <v>163</v>
      </c>
      <c r="F27" s="3">
        <v>4</v>
      </c>
      <c r="G27" s="3" t="s">
        <v>1373</v>
      </c>
      <c r="H27" s="23">
        <v>45873</v>
      </c>
      <c r="I27" s="23">
        <v>45959</v>
      </c>
      <c r="J27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87</v>
      </c>
      <c r="K27" s="14" t="str" cm="1">
        <f t="array" aca="1" ref="K27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S3</v>
      </c>
    </row>
    <row r="28" spans="1:11" ht="24" customHeight="1" thickTop="1" thickBot="1" x14ac:dyDescent="0.45">
      <c r="A28" s="15" t="s">
        <v>193</v>
      </c>
      <c r="B28" s="4" t="s">
        <v>1067</v>
      </c>
      <c r="C28" s="23">
        <v>33044</v>
      </c>
      <c r="D28" s="3" t="s">
        <v>162</v>
      </c>
      <c r="E28" s="3" t="s">
        <v>163</v>
      </c>
      <c r="F28" s="3" t="s">
        <v>184</v>
      </c>
      <c r="G28" s="3" t="s">
        <v>1370</v>
      </c>
      <c r="H28" s="23">
        <v>45873</v>
      </c>
      <c r="I28" s="23">
        <v>46095</v>
      </c>
      <c r="J28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223</v>
      </c>
      <c r="K28" s="14" t="str" cm="1">
        <f t="array" aca="1" ref="K28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S3, S4</v>
      </c>
    </row>
    <row r="29" spans="1:11" ht="24" customHeight="1" thickTop="1" thickBot="1" x14ac:dyDescent="0.45">
      <c r="A29" s="15" t="s">
        <v>194</v>
      </c>
      <c r="B29" s="4" t="s">
        <v>1029</v>
      </c>
      <c r="C29" s="23">
        <v>36448</v>
      </c>
      <c r="D29" s="3" t="s">
        <v>72</v>
      </c>
      <c r="E29" s="3" t="s">
        <v>166</v>
      </c>
      <c r="F29" s="3">
        <v>5</v>
      </c>
      <c r="G29" s="3" t="s">
        <v>1373</v>
      </c>
      <c r="H29" s="23">
        <v>45874</v>
      </c>
      <c r="J29" s="14">
        <f ca="1">_xlfn.LET(
  _xlpm.SROW, 멤버[[#This Row],[입단일]],
  _xlpm.EROW, IF(멤버[[#This Row],[퇴단일]]="", 설정!$A$2, 멤버[[#This Row],[퇴단일]]),
  _xlpm.DURA, IF(_xlpm.SROW="", "", MAX(_xlpm.EROW - _xlpm.SROW + 1, 0)),
  _xlpm.DURA
)</f>
        <v>397</v>
      </c>
      <c r="K29" s="14" t="str" cm="1">
        <f t="array" aca="1" ref="K29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S3, S4, S5, C1, C2</v>
      </c>
    </row>
    <row r="30" spans="1:11" ht="24" customHeight="1" thickTop="1" thickBot="1" x14ac:dyDescent="0.45">
      <c r="A30" s="15" t="s">
        <v>195</v>
      </c>
      <c r="B30" s="4" t="s">
        <v>1020</v>
      </c>
      <c r="C30" s="23">
        <v>35390</v>
      </c>
      <c r="D30" s="3" t="s">
        <v>72</v>
      </c>
      <c r="E30" s="3" t="s">
        <v>176</v>
      </c>
      <c r="F30" s="3">
        <v>4</v>
      </c>
      <c r="G30" s="3" t="s">
        <v>1373</v>
      </c>
      <c r="H30" s="23">
        <v>45876</v>
      </c>
      <c r="J30" s="14">
        <f ca="1">_xlfn.LET(
  _xlpm.SROW, 멤버[[#This Row],[입단일]],
  _xlpm.EROW, IF(멤버[[#This Row],[퇴단일]]="", 설정!$A$2, 멤버[[#This Row],[퇴단일]]),
  _xlpm.DURA, IF(_xlpm.SROW="", "", MAX(_xlpm.EROW - _xlpm.SROW + 1, 0)),
  _xlpm.DURA
)</f>
        <v>395</v>
      </c>
      <c r="K30" s="14" t="str" cm="1">
        <f t="array" aca="1" ref="K30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S3, S4, S5, C1, C2</v>
      </c>
    </row>
    <row r="31" spans="1:11" ht="24" customHeight="1" thickTop="1" thickBot="1" x14ac:dyDescent="0.45">
      <c r="A31" s="15" t="s">
        <v>196</v>
      </c>
      <c r="B31" s="4" t="s">
        <v>1033</v>
      </c>
      <c r="C31" s="23">
        <v>36213</v>
      </c>
      <c r="D31" s="3" t="s">
        <v>72</v>
      </c>
      <c r="E31" s="3" t="s">
        <v>176</v>
      </c>
      <c r="F31" s="3">
        <v>5</v>
      </c>
      <c r="G31" s="3" t="s">
        <v>1373</v>
      </c>
      <c r="H31" s="23">
        <v>45924</v>
      </c>
      <c r="J31" s="14">
        <f ca="1">_xlfn.LET(
  _xlpm.SROW, 멤버[[#This Row],[입단일]],
  _xlpm.EROW, IF(멤버[[#This Row],[퇴단일]]="", 설정!$A$2, 멤버[[#This Row],[퇴단일]]),
  _xlpm.DURA, IF(_xlpm.SROW="", "", MAX(_xlpm.EROW - _xlpm.SROW + 1, 0)),
  _xlpm.DURA
)</f>
        <v>347</v>
      </c>
      <c r="K31" s="14" t="str" cm="1">
        <f t="array" aca="1" ref="K31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S3, S4, S5, C1, C2</v>
      </c>
    </row>
    <row r="32" spans="1:11" ht="24" customHeight="1" thickTop="1" thickBot="1" x14ac:dyDescent="0.45">
      <c r="A32" s="15" t="s">
        <v>197</v>
      </c>
      <c r="B32" s="3" t="s">
        <v>1064</v>
      </c>
      <c r="C32" s="23">
        <v>33800</v>
      </c>
      <c r="D32" s="3" t="s">
        <v>162</v>
      </c>
      <c r="E32" s="3" t="s">
        <v>166</v>
      </c>
      <c r="F32" s="3" t="s">
        <v>198</v>
      </c>
      <c r="G32" s="3" t="s">
        <v>1370</v>
      </c>
      <c r="H32" s="23">
        <v>45964</v>
      </c>
      <c r="I32" s="23">
        <v>46201</v>
      </c>
      <c r="J32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238</v>
      </c>
      <c r="K32" s="14" t="str" cm="1">
        <f t="array" aca="1" ref="K32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S4, S5, C1</v>
      </c>
    </row>
    <row r="33" spans="1:11" ht="24" customHeight="1" thickTop="1" thickBot="1" x14ac:dyDescent="0.45">
      <c r="A33" s="15" t="s">
        <v>966</v>
      </c>
      <c r="B33" s="3" t="s">
        <v>1073</v>
      </c>
      <c r="C33" s="41">
        <v>35625</v>
      </c>
      <c r="D33" s="3" t="s">
        <v>1</v>
      </c>
      <c r="E33" s="3" t="s">
        <v>6</v>
      </c>
      <c r="F33" s="3" t="s">
        <v>10</v>
      </c>
      <c r="G33" s="3" t="s">
        <v>1377</v>
      </c>
      <c r="H33" s="23">
        <v>45976</v>
      </c>
      <c r="I33" s="23">
        <v>45997</v>
      </c>
      <c r="J33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22</v>
      </c>
      <c r="K33" s="14" t="str" cm="1">
        <f t="array" aca="1" ref="K33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S4</v>
      </c>
    </row>
    <row r="34" spans="1:11" ht="24" customHeight="1" thickTop="1" thickBot="1" x14ac:dyDescent="0.45">
      <c r="A34" s="15" t="s">
        <v>965</v>
      </c>
      <c r="B34" s="3" t="s">
        <v>1072</v>
      </c>
      <c r="C34" s="41">
        <v>36177</v>
      </c>
      <c r="D34" s="3" t="s">
        <v>1</v>
      </c>
      <c r="E34" s="3" t="s">
        <v>6</v>
      </c>
      <c r="F34" s="3" t="s">
        <v>10</v>
      </c>
      <c r="G34" s="3" t="s">
        <v>1378</v>
      </c>
      <c r="H34" s="23">
        <v>45976</v>
      </c>
      <c r="I34" s="23">
        <v>46102</v>
      </c>
      <c r="J34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127</v>
      </c>
      <c r="K34" s="14" t="str" cm="1">
        <f t="array" aca="1" ref="K34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S4, S5</v>
      </c>
    </row>
    <row r="35" spans="1:11" ht="24" customHeight="1" thickTop="1" thickBot="1" x14ac:dyDescent="0.45">
      <c r="A35" s="15" t="s">
        <v>967</v>
      </c>
      <c r="B35" s="3" t="s">
        <v>1074</v>
      </c>
      <c r="C35" s="23">
        <v>37106</v>
      </c>
      <c r="D35" s="3" t="s">
        <v>1</v>
      </c>
      <c r="E35" s="3" t="s">
        <v>1239</v>
      </c>
      <c r="F35" s="3" t="s">
        <v>10</v>
      </c>
      <c r="G35" s="3" t="s">
        <v>1377</v>
      </c>
      <c r="H35" s="23">
        <v>45976</v>
      </c>
      <c r="I35" s="23">
        <v>45990</v>
      </c>
      <c r="J35" s="14">
        <f>_xlfn.LET(
  _xlpm.SROW, 멤버[[#This Row],[입단일]],
  _xlpm.EROW, IF(멤버[[#This Row],[퇴단일]]="", 설정!$A$2, 멤버[[#This Row],[퇴단일]]),
  _xlpm.DURA, IF(_xlpm.SROW="", "", MAX(_xlpm.EROW - _xlpm.SROW + 1, 0)),
  _xlpm.DURA
)</f>
        <v>15</v>
      </c>
      <c r="K35" s="14" t="str" cm="1">
        <f t="array" aca="1" ref="K35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S4</v>
      </c>
    </row>
    <row r="36" spans="1:11" ht="24" customHeight="1" thickTop="1" thickBot="1" x14ac:dyDescent="0.45">
      <c r="A36" s="31" t="s">
        <v>1038</v>
      </c>
      <c r="B36" s="3" t="s">
        <v>1039</v>
      </c>
      <c r="C36" s="23">
        <v>36904</v>
      </c>
      <c r="D36" s="3" t="s">
        <v>1</v>
      </c>
      <c r="E36" s="6" t="s">
        <v>6</v>
      </c>
      <c r="F36" s="3">
        <v>7</v>
      </c>
      <c r="G36" s="6" t="s">
        <v>1373</v>
      </c>
      <c r="H36" s="33">
        <v>46039</v>
      </c>
      <c r="I36" s="33"/>
      <c r="J36" s="6">
        <f ca="1">_xlfn.LET(
  _xlpm.SROW, 멤버[[#This Row],[입단일]],
  _xlpm.EROW, IF(멤버[[#This Row],[퇴단일]]="", 설정!$A$2, 멤버[[#This Row],[퇴단일]]),
  _xlpm.DURA, IF(_xlpm.SROW="", "", MAX(_xlpm.EROW - _xlpm.SROW + 1, 0)),
  _xlpm.DURA
)</f>
        <v>232</v>
      </c>
      <c r="K36" s="6" t="str" cm="1">
        <f t="array" aca="1" ref="K36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S4, S5, C1, C2</v>
      </c>
    </row>
    <row r="37" spans="1:11" ht="24" customHeight="1" thickTop="1" thickBot="1" x14ac:dyDescent="0.45">
      <c r="A37" s="31" t="s">
        <v>1049</v>
      </c>
      <c r="B37" s="3" t="s">
        <v>1050</v>
      </c>
      <c r="C37" s="63">
        <v>33467</v>
      </c>
      <c r="D37" s="3" t="s">
        <v>43</v>
      </c>
      <c r="E37" s="6" t="s">
        <v>6</v>
      </c>
      <c r="F37" s="3" t="s">
        <v>1262</v>
      </c>
      <c r="G37" s="6" t="s">
        <v>1370</v>
      </c>
      <c r="H37" s="33">
        <v>46039</v>
      </c>
      <c r="I37" s="33"/>
      <c r="J37" s="6">
        <f ca="1">_xlfn.LET(
  _xlpm.SROW, 멤버[[#This Row],[입단일]],
  _xlpm.EROW, IF(멤버[[#This Row],[퇴단일]]="", 설정!$A$2, 멤버[[#This Row],[퇴단일]]),
  _xlpm.DURA, IF(_xlpm.SROW="", "", MAX(_xlpm.EROW - _xlpm.SROW + 1, 0)),
  _xlpm.DURA
)</f>
        <v>232</v>
      </c>
      <c r="K37" s="6" t="str" cm="1">
        <f t="array" aca="1" ref="K37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S4, S5, C1, C2</v>
      </c>
    </row>
    <row r="38" spans="1:11" ht="24" customHeight="1" thickTop="1" thickBot="1" x14ac:dyDescent="0.45">
      <c r="A38" s="31" t="s">
        <v>1052</v>
      </c>
      <c r="B38" s="3" t="s">
        <v>1053</v>
      </c>
      <c r="C38" s="23">
        <v>33217</v>
      </c>
      <c r="D38" s="3" t="s">
        <v>43</v>
      </c>
      <c r="E38" s="6" t="s">
        <v>1238</v>
      </c>
      <c r="F38" s="3" t="s">
        <v>1264</v>
      </c>
      <c r="G38" s="6" t="s">
        <v>1370</v>
      </c>
      <c r="H38" s="33">
        <v>46039</v>
      </c>
      <c r="I38" s="33">
        <v>46269</v>
      </c>
      <c r="J38" s="6">
        <f>_xlfn.LET(
  _xlpm.SROW, 멤버[[#This Row],[입단일]],
  _xlpm.EROW, IF(멤버[[#This Row],[퇴단일]]="", 설정!$A$2, 멤버[[#This Row],[퇴단일]]),
  _xlpm.DURA, IF(_xlpm.SROW="", "", MAX(_xlpm.EROW - _xlpm.SROW + 1, 0)),
  _xlpm.DURA
)</f>
        <v>231</v>
      </c>
      <c r="K38" s="6" t="str" cm="1">
        <f t="array" aca="1" ref="K38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S4, S5, C1</v>
      </c>
    </row>
    <row r="39" spans="1:11" ht="24" customHeight="1" thickTop="1" thickBot="1" x14ac:dyDescent="0.45">
      <c r="A39" s="31" t="s">
        <v>1690</v>
      </c>
      <c r="B39" s="6" t="s">
        <v>1697</v>
      </c>
      <c r="C39" s="69">
        <v>36545</v>
      </c>
      <c r="D39" s="6" t="s">
        <v>72</v>
      </c>
      <c r="E39" s="6" t="s">
        <v>1239</v>
      </c>
      <c r="F39" s="6">
        <v>6</v>
      </c>
      <c r="G39" s="6" t="s">
        <v>1373</v>
      </c>
      <c r="H39" s="33">
        <v>46097</v>
      </c>
      <c r="I39" s="33"/>
      <c r="J39" s="6">
        <f ca="1">_xlfn.LET(
  _xlpm.SROW, 멤버[[#This Row],[입단일]],
  _xlpm.EROW, IF(멤버[[#This Row],[퇴단일]]="", 설정!$A$2, 멤버[[#This Row],[퇴단일]]),
  _xlpm.DURA, IF(_xlpm.SROW="", "", MAX(_xlpm.EROW - _xlpm.SROW + 1, 0)),
  _xlpm.DURA
)</f>
        <v>174</v>
      </c>
      <c r="K39" s="6" t="str" cm="1">
        <f t="array" aca="1" ref="K39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S5, C1, C2</v>
      </c>
    </row>
    <row r="40" spans="1:11" ht="24" customHeight="1" thickTop="1" thickBot="1" x14ac:dyDescent="0.45">
      <c r="A40" s="31" t="s">
        <v>1696</v>
      </c>
      <c r="B40" s="6" t="s">
        <v>1700</v>
      </c>
      <c r="C40" s="69">
        <v>36162</v>
      </c>
      <c r="D40" s="6" t="s">
        <v>72</v>
      </c>
      <c r="E40" s="6" t="s">
        <v>1238</v>
      </c>
      <c r="F40" s="6">
        <v>7</v>
      </c>
      <c r="G40" s="6" t="s">
        <v>1373</v>
      </c>
      <c r="H40" s="33">
        <v>46100</v>
      </c>
      <c r="I40" s="33"/>
      <c r="J40" s="6">
        <f ca="1">_xlfn.LET(
  _xlpm.SROW, 멤버[[#This Row],[입단일]],
  _xlpm.EROW, IF(멤버[[#This Row],[퇴단일]]="", 설정!$A$2, 멤버[[#This Row],[퇴단일]]),
  _xlpm.DURA, IF(_xlpm.SROW="", "", MAX(_xlpm.EROW - _xlpm.SROW + 1, 0)),
  _xlpm.DURA
)</f>
        <v>171</v>
      </c>
      <c r="K40" s="6" t="str" cm="1">
        <f t="array" aca="1" ref="K40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S5, C1, C2</v>
      </c>
    </row>
    <row r="41" spans="1:11" ht="24" customHeight="1" thickTop="1" thickBot="1" x14ac:dyDescent="0.45">
      <c r="A41" s="31" t="s">
        <v>1698</v>
      </c>
      <c r="B41" s="6" t="s">
        <v>1699</v>
      </c>
      <c r="C41" s="69">
        <v>35674</v>
      </c>
      <c r="D41" s="6" t="s">
        <v>72</v>
      </c>
      <c r="E41" s="6" t="s">
        <v>1239</v>
      </c>
      <c r="F41" s="6">
        <v>3</v>
      </c>
      <c r="G41" s="6" t="s">
        <v>1373</v>
      </c>
      <c r="H41" s="33">
        <v>46100</v>
      </c>
      <c r="I41" s="33"/>
      <c r="J41" s="6">
        <f ca="1">_xlfn.LET(
  _xlpm.SROW, 멤버[[#This Row],[입단일]],
  _xlpm.EROW, IF(멤버[[#This Row],[퇴단일]]="", 설정!$A$2, 멤버[[#This Row],[퇴단일]]),
  _xlpm.DURA, IF(_xlpm.SROW="", "", MAX(_xlpm.EROW - _xlpm.SROW + 1, 0)),
  _xlpm.DURA
)</f>
        <v>171</v>
      </c>
      <c r="K41" s="6" t="str" cm="1">
        <f t="array" aca="1" ref="K41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S5, C1, C2</v>
      </c>
    </row>
    <row r="42" spans="1:11" ht="24" customHeight="1" thickTop="1" thickBot="1" x14ac:dyDescent="0.45">
      <c r="A42" s="31" t="s">
        <v>1032</v>
      </c>
      <c r="B42" s="6" t="s">
        <v>1724</v>
      </c>
      <c r="C42" s="69">
        <v>35564</v>
      </c>
      <c r="D42" s="6" t="s">
        <v>1</v>
      </c>
      <c r="E42" s="6" t="s">
        <v>6</v>
      </c>
      <c r="F42" s="6">
        <v>4</v>
      </c>
      <c r="G42" s="6" t="s">
        <v>1373</v>
      </c>
      <c r="H42" s="33">
        <v>46107</v>
      </c>
      <c r="I42" s="33"/>
      <c r="J42" s="6">
        <f ca="1">_xlfn.LET(
  _xlpm.SROW, 멤버[[#This Row],[입단일]],
  _xlpm.EROW, IF(멤버[[#This Row],[퇴단일]]="", 설정!$A$2, 멤버[[#This Row],[퇴단일]]),
  _xlpm.DURA, IF(_xlpm.SROW="", "", MAX(_xlpm.EROW - _xlpm.SROW + 1, 0)),
  _xlpm.DURA
)</f>
        <v>164</v>
      </c>
      <c r="K42" s="6" t="str" cm="1">
        <f t="array" aca="1" ref="K42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S5, C1, C2</v>
      </c>
    </row>
    <row r="43" spans="1:11" ht="24" customHeight="1" thickTop="1" thickBot="1" x14ac:dyDescent="0.45">
      <c r="A43" s="31" t="s">
        <v>1055</v>
      </c>
      <c r="B43" s="6" t="s">
        <v>1725</v>
      </c>
      <c r="C43" s="69">
        <v>33801</v>
      </c>
      <c r="D43" s="6" t="s">
        <v>43</v>
      </c>
      <c r="E43" s="6" t="s">
        <v>1239</v>
      </c>
      <c r="F43" s="6" t="s">
        <v>1264</v>
      </c>
      <c r="G43" s="6" t="s">
        <v>1370</v>
      </c>
      <c r="H43" s="33">
        <v>46107</v>
      </c>
      <c r="I43" s="33"/>
      <c r="J43" s="6">
        <f ca="1">_xlfn.LET(
  _xlpm.SROW, 멤버[[#This Row],[입단일]],
  _xlpm.EROW, IF(멤버[[#This Row],[퇴단일]]="", 설정!$A$2, 멤버[[#This Row],[퇴단일]]),
  _xlpm.DURA, IF(_xlpm.SROW="", "", MAX(_xlpm.EROW - _xlpm.SROW + 1, 0)),
  _xlpm.DURA
)</f>
        <v>164</v>
      </c>
      <c r="K43" s="6" t="str" cm="1">
        <f t="array" aca="1" ref="K43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S5, C1, C2</v>
      </c>
    </row>
    <row r="44" spans="1:11" ht="24" customHeight="1" thickTop="1" thickBot="1" x14ac:dyDescent="0.45">
      <c r="A44" s="31" t="s">
        <v>1757</v>
      </c>
      <c r="B44" s="6" t="s">
        <v>1759</v>
      </c>
      <c r="C44" s="69">
        <v>36383</v>
      </c>
      <c r="D44" s="6" t="s">
        <v>72</v>
      </c>
      <c r="E44" s="6" t="s">
        <v>6</v>
      </c>
      <c r="F44" s="6" t="s">
        <v>171</v>
      </c>
      <c r="G44" s="6" t="s">
        <v>1373</v>
      </c>
      <c r="H44" s="33">
        <v>46140</v>
      </c>
      <c r="I44" s="33"/>
      <c r="J44" s="6">
        <f ca="1">_xlfn.LET(
  _xlpm.SROW, 멤버[[#This Row],[입단일]],
  _xlpm.EROW, IF(멤버[[#This Row],[퇴단일]]="", 설정!$A$2, 멤버[[#This Row],[퇴단일]]),
  _xlpm.DURA, IF(_xlpm.SROW="", "", MAX(_xlpm.EROW - _xlpm.SROW + 1, 0)),
  _xlpm.DURA
)</f>
        <v>131</v>
      </c>
      <c r="K44" s="6" t="str" cm="1">
        <f t="array" aca="1" ref="K44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S5, C1, C2</v>
      </c>
    </row>
    <row r="45" spans="1:11" ht="24" customHeight="1" thickTop="1" thickBot="1" x14ac:dyDescent="0.45">
      <c r="A45" s="31" t="s">
        <v>1060</v>
      </c>
      <c r="B45" s="6" t="s">
        <v>1785</v>
      </c>
      <c r="C45" s="69">
        <v>34362</v>
      </c>
      <c r="D45" s="6" t="s">
        <v>162</v>
      </c>
      <c r="E45" s="6" t="s">
        <v>1238</v>
      </c>
      <c r="F45" s="6" t="s">
        <v>184</v>
      </c>
      <c r="G45" s="6" t="s">
        <v>1370</v>
      </c>
      <c r="H45" s="33">
        <v>46186</v>
      </c>
      <c r="I45" s="33">
        <v>46269</v>
      </c>
      <c r="J45" s="6">
        <f>_xlfn.LET(
  _xlpm.SROW, 멤버[[#This Row],[입단일]],
  _xlpm.EROW, IF(멤버[[#This Row],[퇴단일]]="", 설정!$A$2, 멤버[[#This Row],[퇴단일]]),
  _xlpm.DURA, IF(_xlpm.SROW="", "", MAX(_xlpm.EROW - _xlpm.SROW + 1, 0)),
  _xlpm.DURA
)</f>
        <v>84</v>
      </c>
      <c r="K45" s="6" t="str" cm="1">
        <f t="array" aca="1" ref="K45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C1</v>
      </c>
    </row>
    <row r="46" spans="1:11" ht="24" customHeight="1" thickTop="1" thickBot="1" x14ac:dyDescent="0.45">
      <c r="A46" s="31" t="s">
        <v>1058</v>
      </c>
      <c r="B46" s="6" t="s">
        <v>1786</v>
      </c>
      <c r="C46" s="69">
        <v>33582</v>
      </c>
      <c r="D46" s="6" t="s">
        <v>162</v>
      </c>
      <c r="E46" s="6" t="s">
        <v>6</v>
      </c>
      <c r="F46" s="6" t="s">
        <v>184</v>
      </c>
      <c r="G46" s="6" t="s">
        <v>1370</v>
      </c>
      <c r="H46" s="33">
        <v>46189</v>
      </c>
      <c r="I46" s="33"/>
      <c r="J46" s="6">
        <f ca="1">_xlfn.LET(
  _xlpm.SROW, 멤버[[#This Row],[입단일]],
  _xlpm.EROW, IF(멤버[[#This Row],[퇴단일]]="", 설정!$A$2, 멤버[[#This Row],[퇴단일]]),
  _xlpm.DURA, IF(_xlpm.SROW="", "", MAX(_xlpm.EROW - _xlpm.SROW + 1, 0)),
  _xlpm.DURA
)</f>
        <v>82</v>
      </c>
      <c r="K46" s="6" t="str" cm="1">
        <f t="array" aca="1" ref="K46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C1, C2</v>
      </c>
    </row>
    <row r="47" spans="1:11" ht="24" customHeight="1" thickTop="1" thickBot="1" x14ac:dyDescent="0.45">
      <c r="A47" s="31" t="s">
        <v>1075</v>
      </c>
      <c r="B47" s="6" t="s">
        <v>1787</v>
      </c>
      <c r="C47" s="69">
        <v>34392</v>
      </c>
      <c r="D47" s="6" t="s">
        <v>72</v>
      </c>
      <c r="E47" s="6" t="s">
        <v>6</v>
      </c>
      <c r="F47" s="6">
        <v>2</v>
      </c>
      <c r="G47" s="6" t="s">
        <v>1373</v>
      </c>
      <c r="H47" s="33">
        <v>46211</v>
      </c>
      <c r="I47" s="33"/>
      <c r="J47" s="6">
        <f ca="1">_xlfn.LET(
  _xlpm.SROW, 멤버[[#This Row],[입단일]],
  _xlpm.EROW, IF(멤버[[#This Row],[퇴단일]]="", 설정!$A$2, 멤버[[#This Row],[퇴단일]]),
  _xlpm.DURA, IF(_xlpm.SROW="", "", MAX(_xlpm.EROW - _xlpm.SROW + 1, 0)),
  _xlpm.DURA
)</f>
        <v>60</v>
      </c>
      <c r="K47" s="6" t="str" cm="1">
        <f t="array" aca="1" ref="K47" ca="1">_xlfn.LET(
  _xlpm.SCOD, 시즌[시즌],
  _xlpm.SDAY, 시즌[날짜],
  _xlpm.NROW, ROWS(_xlpm.SDAY),
  _xlpm.NXTN, IFERROR(INDEX(_xlpm.SDAY, _xlfn.SEQUENCE(_xlpm.NROW)+1), 설정!$A$2+1),
  _xlpm.ENDA, _xlpm.NXTN - 1,
  _xlpm.SROW, 멤버[[#This Row],[입단일]],
  _xlpm.EROW, IF(멤버[[#This Row],[퇴단일]]="", 설정!$A$2, 멤버[[#This Row],[퇴단일]]),
  _xlpm.HITS, (_xlpm.SROW &lt;= _xlpm.ENDA) * (_xlpm.EROW &gt;= _xlpm.SDAY),
  _xlpm.CNTS, SUM(_xlpm.HITS),
  IF(_xlpm.CNTS=0, "", _xlfn.TEXTJOIN(", ", TRUE, _xlfn._xlws.FILTER(_xlpm.SCOD, _xlpm.HITS)))
)</f>
        <v>C1, C2</v>
      </c>
    </row>
  </sheetData>
  <dataConsolidate/>
  <phoneticPr fontId="1" type="noConversion"/>
  <dataValidations count="5">
    <dataValidation type="list" allowBlank="1" showInputMessage="1" showErrorMessage="1" sqref="F2:F32" xr:uid="{F1377CC5-7665-4C79-9409-70A4CE31A6C9}">
      <formula1>"갓,킹,잭,조커,스페이드,1,2,3,4,5,6,7,8,유스"</formula1>
    </dataValidation>
    <dataValidation type="list" allowBlank="1" showInputMessage="1" showErrorMessage="1" sqref="E2:E47" xr:uid="{2778AF93-A2C4-4A34-9469-9F65521ACA45}">
      <formula1>"테란,저그,프로토스"</formula1>
    </dataValidation>
    <dataValidation type="list" allowBlank="1" showInputMessage="1" showErrorMessage="1" sqref="D2:D32" xr:uid="{D09BECF1-056F-404C-8F6C-2BC2AA96BCE9}">
      <formula1>"남자,여자"</formula1>
    </dataValidation>
    <dataValidation type="list" allowBlank="1" showInputMessage="1" showErrorMessage="1" sqref="F33:F38" xr:uid="{EC4A41D3-E8E1-44F0-A362-B941986BA774}">
      <formula1>"갓,킹,잭,조커,스페이드,0,1,2,3,4,5,6,7,8,유스,체크"</formula1>
    </dataValidation>
    <dataValidation type="list" allowBlank="1" showInputMessage="1" showErrorMessage="1" sqref="D33:D38" xr:uid="{57D22557-C04C-45B2-969A-235B8BB31185}">
      <formula1>"여자,남자"</formula1>
    </dataValidation>
  </dataValidations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7AAA8-DFF4-4295-9349-BE9440B73F13}">
  <sheetPr codeName="Sheet05"/>
  <dimension ref="A1:AE178"/>
  <sheetViews>
    <sheetView topLeftCell="A173" zoomScale="70" zoomScaleNormal="70" workbookViewId="0">
      <selection activeCell="D177" sqref="D177"/>
    </sheetView>
  </sheetViews>
  <sheetFormatPr defaultColWidth="15.69921875" defaultRowHeight="72" customHeight="1" thickTop="1" thickBottom="1" x14ac:dyDescent="0.45"/>
  <cols>
    <col min="1" max="1" width="15.69921875" style="23"/>
    <col min="2" max="4" width="15.69921875" style="3"/>
    <col min="5" max="5" width="15.69921875" style="50"/>
    <col min="6" max="10" width="15.69921875" style="5"/>
    <col min="11" max="27" width="15.69921875" style="3"/>
    <col min="28" max="30" width="15.69921875" style="51"/>
    <col min="31" max="16384" width="15.69921875" style="3"/>
  </cols>
  <sheetData>
    <row r="1" spans="1:31" ht="24" customHeight="1" thickTop="1" thickBot="1" x14ac:dyDescent="0.45">
      <c r="A1" s="43" t="s">
        <v>199</v>
      </c>
      <c r="B1" s="1" t="s">
        <v>75</v>
      </c>
      <c r="C1" s="1" t="s">
        <v>200</v>
      </c>
      <c r="D1" s="1" t="s">
        <v>201</v>
      </c>
      <c r="E1" s="44" t="s">
        <v>1954</v>
      </c>
      <c r="F1" s="45" t="s">
        <v>202</v>
      </c>
      <c r="G1" s="45" t="s">
        <v>1235</v>
      </c>
      <c r="H1" s="45" t="s">
        <v>203</v>
      </c>
      <c r="I1" s="45" t="s">
        <v>204</v>
      </c>
      <c r="J1" s="45" t="s">
        <v>205</v>
      </c>
      <c r="K1" s="1" t="s">
        <v>206</v>
      </c>
      <c r="L1" s="1" t="s">
        <v>207</v>
      </c>
      <c r="M1" s="1" t="s">
        <v>208</v>
      </c>
      <c r="N1" s="1" t="s">
        <v>209</v>
      </c>
      <c r="O1" s="1" t="s">
        <v>210</v>
      </c>
      <c r="P1" s="1" t="s">
        <v>211</v>
      </c>
      <c r="Q1" s="1" t="s">
        <v>212</v>
      </c>
      <c r="R1" s="1" t="s">
        <v>213</v>
      </c>
      <c r="S1" s="1" t="s">
        <v>214</v>
      </c>
      <c r="T1" s="1" t="s">
        <v>215</v>
      </c>
      <c r="U1" s="1" t="s">
        <v>216</v>
      </c>
      <c r="V1" s="1" t="s">
        <v>217</v>
      </c>
      <c r="W1" s="1" t="s">
        <v>218</v>
      </c>
      <c r="X1" s="1" t="s">
        <v>1515</v>
      </c>
      <c r="Y1" s="1" t="s">
        <v>1514</v>
      </c>
      <c r="Z1" s="1" t="s">
        <v>1513</v>
      </c>
      <c r="AA1" s="1" t="s">
        <v>219</v>
      </c>
      <c r="AB1" s="1" t="s">
        <v>220</v>
      </c>
      <c r="AC1" s="46" t="s">
        <v>221</v>
      </c>
      <c r="AD1" s="46" t="s">
        <v>222</v>
      </c>
      <c r="AE1" s="47" t="s">
        <v>223</v>
      </c>
    </row>
    <row r="2" spans="1:31" ht="72" customHeight="1" thickTop="1" thickBot="1" x14ac:dyDescent="0.45">
      <c r="A2" s="24">
        <v>45484</v>
      </c>
      <c r="B2" s="14" t="s">
        <v>224</v>
      </c>
      <c r="C2" s="14" t="s">
        <v>3</v>
      </c>
      <c r="D2" s="14" t="s">
        <v>225</v>
      </c>
      <c r="E2" s="48" t="s">
        <v>1955</v>
      </c>
      <c r="F2" s="39"/>
      <c r="G2" s="39"/>
      <c r="H2" s="39">
        <v>100</v>
      </c>
      <c r="I2" s="39">
        <v>50</v>
      </c>
      <c r="J2" s="39"/>
      <c r="K2" s="14" t="s">
        <v>227</v>
      </c>
      <c r="L2" s="14" t="s">
        <v>228</v>
      </c>
      <c r="M2" s="14" t="s">
        <v>229</v>
      </c>
      <c r="N2" s="14" t="s">
        <v>230</v>
      </c>
      <c r="O2" s="14"/>
      <c r="P2" s="14"/>
      <c r="Q2" s="14"/>
      <c r="R2" s="14" t="s">
        <v>231</v>
      </c>
      <c r="S2" s="14" t="s">
        <v>232</v>
      </c>
      <c r="T2" s="14" t="s">
        <v>233</v>
      </c>
      <c r="U2" s="14"/>
      <c r="V2" s="14"/>
      <c r="W2" s="14"/>
      <c r="X2" s="14"/>
      <c r="Y2" s="14"/>
      <c r="Z2" s="14"/>
      <c r="AA2" s="14" t="s">
        <v>231</v>
      </c>
      <c r="AB2" s="14"/>
      <c r="AC2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2" s="67" t="str" cm="1">
        <f t="array" ref="AD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2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" spans="1:31" ht="72" customHeight="1" thickTop="1" thickBot="1" x14ac:dyDescent="0.45">
      <c r="A3" s="23">
        <v>45485</v>
      </c>
      <c r="B3" s="3" t="s">
        <v>224</v>
      </c>
      <c r="C3" s="3" t="s">
        <v>9</v>
      </c>
      <c r="D3" s="3" t="s">
        <v>225</v>
      </c>
      <c r="E3" s="50" t="s">
        <v>234</v>
      </c>
      <c r="I3" s="5">
        <v>50</v>
      </c>
      <c r="K3" s="3" t="s">
        <v>235</v>
      </c>
      <c r="L3" s="3" t="s">
        <v>236</v>
      </c>
      <c r="M3" s="3" t="s">
        <v>237</v>
      </c>
      <c r="N3" s="3" t="s">
        <v>238</v>
      </c>
      <c r="O3" s="3" t="s">
        <v>239</v>
      </c>
      <c r="AB3" s="3"/>
      <c r="AC3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3:2</v>
      </c>
      <c r="AD3" s="67" t="str" cm="1">
        <f t="array" ref="AD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3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" spans="1:31" ht="72" customHeight="1" thickTop="1" thickBot="1" x14ac:dyDescent="0.45">
      <c r="A4" s="23">
        <v>45487</v>
      </c>
      <c r="B4" s="3" t="s">
        <v>224</v>
      </c>
      <c r="C4" s="3" t="s">
        <v>29</v>
      </c>
      <c r="D4" s="3" t="s">
        <v>225</v>
      </c>
      <c r="E4" s="50" t="s">
        <v>226</v>
      </c>
      <c r="H4" s="5">
        <v>100</v>
      </c>
      <c r="I4" s="5" t="s">
        <v>240</v>
      </c>
      <c r="K4" s="3" t="s">
        <v>241</v>
      </c>
      <c r="L4" s="3" t="s">
        <v>242</v>
      </c>
      <c r="M4" s="3" t="s">
        <v>243</v>
      </c>
      <c r="N4" s="3" t="s">
        <v>244</v>
      </c>
      <c r="R4" s="3" t="s">
        <v>245</v>
      </c>
      <c r="S4" s="3" t="s">
        <v>246</v>
      </c>
      <c r="T4" s="3" t="s">
        <v>247</v>
      </c>
      <c r="AA4" s="3" t="s">
        <v>248</v>
      </c>
      <c r="AB4" s="3"/>
      <c r="AC4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4" s="67" t="str" cm="1">
        <f t="array" ref="AD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4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" spans="1:31" ht="72" customHeight="1" thickTop="1" thickBot="1" x14ac:dyDescent="0.45">
      <c r="A5" s="23">
        <v>45488</v>
      </c>
      <c r="B5" s="3" t="s">
        <v>224</v>
      </c>
      <c r="C5" s="3" t="s">
        <v>8</v>
      </c>
      <c r="D5" s="3" t="s">
        <v>225</v>
      </c>
      <c r="E5" s="50" t="s">
        <v>390</v>
      </c>
      <c r="K5" s="3" t="s">
        <v>250</v>
      </c>
      <c r="L5" s="3" t="s">
        <v>251</v>
      </c>
      <c r="M5" s="3" t="s">
        <v>252</v>
      </c>
      <c r="N5" s="3" t="s">
        <v>253</v>
      </c>
      <c r="O5" s="3" t="s">
        <v>254</v>
      </c>
      <c r="P5" s="3" t="s">
        <v>255</v>
      </c>
      <c r="Q5" s="3" t="s">
        <v>256</v>
      </c>
      <c r="AB5" s="3"/>
      <c r="AC5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" s="67" t="str" cm="1">
        <f t="array" ref="AD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" spans="1:31" ht="72" customHeight="1" thickTop="1" thickBot="1" x14ac:dyDescent="0.45">
      <c r="A6" s="23">
        <v>45507</v>
      </c>
      <c r="B6" s="3" t="s">
        <v>224</v>
      </c>
      <c r="C6" s="3" t="s">
        <v>29</v>
      </c>
      <c r="D6" s="3" t="s">
        <v>225</v>
      </c>
      <c r="E6" s="50" t="s">
        <v>226</v>
      </c>
      <c r="G6" s="5" t="s">
        <v>257</v>
      </c>
      <c r="H6" s="5">
        <v>250</v>
      </c>
      <c r="K6" s="3" t="s">
        <v>258</v>
      </c>
      <c r="L6" s="3" t="s">
        <v>259</v>
      </c>
      <c r="M6" s="3" t="s">
        <v>260</v>
      </c>
      <c r="N6" s="3" t="s">
        <v>261</v>
      </c>
      <c r="O6" s="3" t="s">
        <v>262</v>
      </c>
      <c r="R6" s="3" t="s">
        <v>241</v>
      </c>
      <c r="S6" s="3" t="s">
        <v>263</v>
      </c>
      <c r="T6" s="3" t="s">
        <v>264</v>
      </c>
      <c r="U6" s="3" t="s">
        <v>265</v>
      </c>
      <c r="V6" s="3" t="s">
        <v>266</v>
      </c>
      <c r="AA6" s="3" t="s">
        <v>260</v>
      </c>
      <c r="AB6" s="3"/>
      <c r="AC6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6" s="67" t="str" cm="1">
        <f t="array" ref="AD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6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" spans="1:31" ht="72" customHeight="1" thickTop="1" thickBot="1" x14ac:dyDescent="0.45">
      <c r="A7" s="23">
        <v>45510</v>
      </c>
      <c r="B7" s="3" t="s">
        <v>224</v>
      </c>
      <c r="C7" s="3" t="s">
        <v>8</v>
      </c>
      <c r="D7" s="3" t="s">
        <v>225</v>
      </c>
      <c r="E7" s="50" t="s">
        <v>226</v>
      </c>
      <c r="H7" s="5">
        <v>250</v>
      </c>
      <c r="K7" s="3" t="s">
        <v>1273</v>
      </c>
      <c r="L7" s="3" t="s">
        <v>267</v>
      </c>
      <c r="M7" s="3" t="s">
        <v>268</v>
      </c>
      <c r="N7" s="3" t="s">
        <v>269</v>
      </c>
      <c r="R7" s="3" t="s">
        <v>270</v>
      </c>
      <c r="S7" s="3" t="s">
        <v>1269</v>
      </c>
      <c r="T7" s="3" t="s">
        <v>1270</v>
      </c>
      <c r="U7" s="3" t="s">
        <v>1271</v>
      </c>
      <c r="V7" s="3" t="s">
        <v>1272</v>
      </c>
      <c r="AA7" s="3" t="s">
        <v>272</v>
      </c>
      <c r="AB7" s="3"/>
      <c r="AC7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7" s="67" t="str" cm="1">
        <f t="array" ref="AD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7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" spans="1:31" ht="72" customHeight="1" thickTop="1" thickBot="1" x14ac:dyDescent="0.45">
      <c r="A8" s="23">
        <v>45543</v>
      </c>
      <c r="B8" s="3" t="s">
        <v>224</v>
      </c>
      <c r="C8" s="3" t="s">
        <v>145</v>
      </c>
      <c r="D8" s="3" t="s">
        <v>0</v>
      </c>
      <c r="E8" s="50" t="s">
        <v>273</v>
      </c>
      <c r="F8" s="5">
        <v>217800</v>
      </c>
      <c r="G8" s="5">
        <v>90300</v>
      </c>
      <c r="H8" s="5">
        <v>100</v>
      </c>
      <c r="K8" s="3" t="s">
        <v>274</v>
      </c>
      <c r="L8" s="3" t="s">
        <v>275</v>
      </c>
      <c r="M8" s="3" t="s">
        <v>276</v>
      </c>
      <c r="N8" s="3" t="s">
        <v>277</v>
      </c>
      <c r="O8" s="3" t="s">
        <v>278</v>
      </c>
      <c r="P8" s="3" t="s">
        <v>279</v>
      </c>
      <c r="Q8" s="3" t="s">
        <v>280</v>
      </c>
      <c r="AB8" s="3"/>
      <c r="AC8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8" s="67" t="str" cm="1">
        <f t="array" ref="AD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8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" spans="1:31" ht="72" customHeight="1" thickTop="1" thickBot="1" x14ac:dyDescent="0.45">
      <c r="A9" s="23">
        <v>45547</v>
      </c>
      <c r="B9" s="3" t="s">
        <v>224</v>
      </c>
      <c r="C9" s="3" t="s">
        <v>1100</v>
      </c>
      <c r="D9" s="3" t="s">
        <v>281</v>
      </c>
      <c r="E9" s="50" t="s">
        <v>282</v>
      </c>
      <c r="F9" s="5">
        <v>110000</v>
      </c>
      <c r="K9" s="3" t="s">
        <v>283</v>
      </c>
      <c r="L9" s="3" t="s">
        <v>284</v>
      </c>
      <c r="M9" s="3" t="s">
        <v>285</v>
      </c>
      <c r="N9" s="3" t="s">
        <v>286</v>
      </c>
      <c r="O9" s="3" t="s">
        <v>287</v>
      </c>
      <c r="P9" s="3" t="s">
        <v>288</v>
      </c>
      <c r="Q9" s="3" t="s">
        <v>284</v>
      </c>
      <c r="R9" s="3" t="s">
        <v>289</v>
      </c>
      <c r="AB9" s="3"/>
      <c r="AC9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9" s="67" t="str" cm="1">
        <f t="array" ref="AD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9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" spans="1:31" ht="72" customHeight="1" thickTop="1" thickBot="1" x14ac:dyDescent="0.45">
      <c r="A10" s="23">
        <v>45553</v>
      </c>
      <c r="B10" s="3" t="s">
        <v>224</v>
      </c>
      <c r="C10" s="3" t="s">
        <v>1100</v>
      </c>
      <c r="D10" s="3" t="s">
        <v>281</v>
      </c>
      <c r="E10" s="50" t="s">
        <v>226</v>
      </c>
      <c r="F10" s="5">
        <v>104000</v>
      </c>
      <c r="H10" s="5">
        <v>100</v>
      </c>
      <c r="K10" s="3" t="s">
        <v>290</v>
      </c>
      <c r="L10" s="3" t="s">
        <v>291</v>
      </c>
      <c r="M10" s="3" t="s">
        <v>292</v>
      </c>
      <c r="R10" s="3" t="s">
        <v>293</v>
      </c>
      <c r="S10" s="3" t="s">
        <v>294</v>
      </c>
      <c r="T10" s="3" t="s">
        <v>295</v>
      </c>
      <c r="U10" s="3" t="s">
        <v>296</v>
      </c>
      <c r="V10" s="3" t="s">
        <v>290</v>
      </c>
      <c r="AB10" s="3"/>
      <c r="AC10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10" s="67" t="str" cm="1">
        <f t="array" ref="AD1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0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" spans="1:31" ht="72" customHeight="1" thickTop="1" thickBot="1" x14ac:dyDescent="0.45">
      <c r="A11" s="23">
        <v>45557</v>
      </c>
      <c r="B11" s="3" t="s">
        <v>224</v>
      </c>
      <c r="C11" s="3" t="s">
        <v>29</v>
      </c>
      <c r="D11" s="3" t="s">
        <v>0</v>
      </c>
      <c r="E11" s="50" t="s">
        <v>273</v>
      </c>
      <c r="F11" s="5">
        <v>252000</v>
      </c>
      <c r="G11" s="5">
        <v>34000</v>
      </c>
      <c r="K11" s="3" t="s">
        <v>297</v>
      </c>
      <c r="L11" s="3" t="s">
        <v>298</v>
      </c>
      <c r="M11" s="3" t="s">
        <v>299</v>
      </c>
      <c r="N11" s="3" t="s">
        <v>300</v>
      </c>
      <c r="O11" s="3" t="s">
        <v>301</v>
      </c>
      <c r="P11" s="3" t="s">
        <v>302</v>
      </c>
      <c r="AB11" s="3"/>
      <c r="AC11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1:5</v>
      </c>
      <c r="AD11" s="67" t="str" cm="1">
        <f t="array" ref="AD1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" spans="1:31" ht="72" customHeight="1" thickTop="1" thickBot="1" x14ac:dyDescent="0.45">
      <c r="A12" s="23">
        <v>45559</v>
      </c>
      <c r="B12" s="3" t="s">
        <v>224</v>
      </c>
      <c r="C12" s="3" t="s">
        <v>1101</v>
      </c>
      <c r="D12" s="3" t="s">
        <v>281</v>
      </c>
      <c r="E12" s="50" t="s">
        <v>273</v>
      </c>
      <c r="G12" s="5">
        <v>200600</v>
      </c>
      <c r="H12" s="5">
        <v>100</v>
      </c>
      <c r="K12" s="3" t="s">
        <v>303</v>
      </c>
      <c r="L12" s="3" t="s">
        <v>304</v>
      </c>
      <c r="M12" s="3" t="s">
        <v>305</v>
      </c>
      <c r="N12" s="3" t="s">
        <v>306</v>
      </c>
      <c r="O12" s="3" t="s">
        <v>307</v>
      </c>
      <c r="P12" s="3" t="s">
        <v>308</v>
      </c>
      <c r="Q12" s="3" t="s">
        <v>309</v>
      </c>
      <c r="AB12" s="3"/>
      <c r="AC12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12" s="67" t="str" cm="1">
        <f t="array" ref="AD1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3" spans="1:31" ht="72" customHeight="1" thickTop="1" thickBot="1" x14ac:dyDescent="0.45">
      <c r="A13" s="23">
        <v>45563</v>
      </c>
      <c r="B13" s="3" t="s">
        <v>224</v>
      </c>
      <c r="C13" s="3" t="s">
        <v>3</v>
      </c>
      <c r="D13" s="3" t="s">
        <v>225</v>
      </c>
      <c r="E13" s="50" t="s">
        <v>226</v>
      </c>
      <c r="G13" s="5" t="s">
        <v>257</v>
      </c>
      <c r="H13" s="5">
        <v>100</v>
      </c>
      <c r="I13" s="5" t="s">
        <v>240</v>
      </c>
      <c r="K13" s="3" t="s">
        <v>310</v>
      </c>
      <c r="L13" s="3" t="s">
        <v>311</v>
      </c>
      <c r="M13" s="3" t="s">
        <v>312</v>
      </c>
      <c r="N13" s="3" t="s">
        <v>313</v>
      </c>
      <c r="R13" s="3" t="s">
        <v>314</v>
      </c>
      <c r="S13" s="3" t="s">
        <v>315</v>
      </c>
      <c r="T13" s="3" t="s">
        <v>316</v>
      </c>
      <c r="AB13" s="3"/>
      <c r="AC13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1:6</v>
      </c>
      <c r="AD13" s="67" t="str" cm="1">
        <f t="array" ref="AD1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3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" spans="1:31" ht="72" customHeight="1" thickTop="1" thickBot="1" x14ac:dyDescent="0.45">
      <c r="A14" s="23">
        <v>45571</v>
      </c>
      <c r="B14" s="3" t="s">
        <v>224</v>
      </c>
      <c r="C14" s="3" t="s">
        <v>144</v>
      </c>
      <c r="D14" s="3" t="s">
        <v>0</v>
      </c>
      <c r="E14" s="50" t="s">
        <v>273</v>
      </c>
      <c r="F14" s="5">
        <v>151700</v>
      </c>
      <c r="G14" s="5">
        <v>57000</v>
      </c>
      <c r="K14" s="3" t="s">
        <v>317</v>
      </c>
      <c r="L14" s="3" t="s">
        <v>318</v>
      </c>
      <c r="M14" s="3" t="s">
        <v>319</v>
      </c>
      <c r="N14" s="3" t="s">
        <v>320</v>
      </c>
      <c r="O14" s="3" t="s">
        <v>321</v>
      </c>
      <c r="P14" s="3" t="s">
        <v>322</v>
      </c>
      <c r="Q14" s="3" t="s">
        <v>323</v>
      </c>
      <c r="R14" s="3" t="s">
        <v>322</v>
      </c>
      <c r="AB14" s="3"/>
      <c r="AC14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4" s="67" t="str" cm="1">
        <f t="array" ref="AD1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4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" spans="1:31" ht="72" customHeight="1" thickTop="1" thickBot="1" x14ac:dyDescent="0.45">
      <c r="A15" s="23">
        <v>45577</v>
      </c>
      <c r="B15" s="3" t="s">
        <v>224</v>
      </c>
      <c r="C15" s="3" t="s">
        <v>9</v>
      </c>
      <c r="D15" s="3" t="s">
        <v>225</v>
      </c>
      <c r="E15" s="50" t="s">
        <v>226</v>
      </c>
      <c r="G15" s="5" t="s">
        <v>257</v>
      </c>
      <c r="H15" s="5">
        <v>100</v>
      </c>
      <c r="I15" s="5">
        <v>50</v>
      </c>
      <c r="K15" s="3" t="s">
        <v>324</v>
      </c>
      <c r="L15" s="3" t="s">
        <v>325</v>
      </c>
      <c r="M15" s="3" t="s">
        <v>326</v>
      </c>
      <c r="N15" s="3" t="s">
        <v>327</v>
      </c>
      <c r="O15" s="3" t="s">
        <v>325</v>
      </c>
      <c r="R15" s="3" t="s">
        <v>328</v>
      </c>
      <c r="S15" s="3" t="s">
        <v>329</v>
      </c>
      <c r="T15" s="3" t="s">
        <v>325</v>
      </c>
      <c r="AB15" s="3"/>
      <c r="AC15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15" s="67" t="str" cm="1">
        <f t="array" ref="AD1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5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" spans="1:31" ht="72" customHeight="1" thickTop="1" thickBot="1" x14ac:dyDescent="0.45">
      <c r="A16" s="23">
        <v>45580</v>
      </c>
      <c r="B16" s="3" t="s">
        <v>224</v>
      </c>
      <c r="C16" s="3" t="s">
        <v>1102</v>
      </c>
      <c r="D16" s="3" t="s">
        <v>225</v>
      </c>
      <c r="E16" s="50" t="s">
        <v>226</v>
      </c>
      <c r="G16" s="5" t="s">
        <v>257</v>
      </c>
      <c r="H16" s="5">
        <v>100</v>
      </c>
      <c r="I16" s="5">
        <v>50</v>
      </c>
      <c r="K16" s="3" t="s">
        <v>330</v>
      </c>
      <c r="L16" s="3" t="s">
        <v>331</v>
      </c>
      <c r="M16" s="3" t="s">
        <v>332</v>
      </c>
      <c r="N16" s="3" t="s">
        <v>333</v>
      </c>
      <c r="R16" s="3" t="s">
        <v>334</v>
      </c>
      <c r="S16" s="3" t="s">
        <v>335</v>
      </c>
      <c r="T16" s="3" t="s">
        <v>336</v>
      </c>
      <c r="U16" s="3" t="s">
        <v>337</v>
      </c>
      <c r="AB16" s="3"/>
      <c r="AC16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16" s="67" t="str" cm="1">
        <f t="array" ref="AD1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6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" spans="1:31" ht="72" customHeight="1" thickTop="1" thickBot="1" x14ac:dyDescent="0.45">
      <c r="A17" s="23">
        <v>45584</v>
      </c>
      <c r="B17" s="3" t="s">
        <v>224</v>
      </c>
      <c r="C17" s="3" t="s">
        <v>1100</v>
      </c>
      <c r="D17" s="3" t="s">
        <v>281</v>
      </c>
      <c r="E17" s="50" t="s">
        <v>338</v>
      </c>
      <c r="F17" s="5">
        <v>76500</v>
      </c>
      <c r="K17" s="3" t="s">
        <v>339</v>
      </c>
      <c r="L17" s="3" t="s">
        <v>340</v>
      </c>
      <c r="M17" s="3" t="s">
        <v>341</v>
      </c>
      <c r="N17" s="3" t="s">
        <v>342</v>
      </c>
      <c r="O17" s="3" t="s">
        <v>343</v>
      </c>
      <c r="R17" s="3" t="s">
        <v>344</v>
      </c>
      <c r="S17" s="3" t="s">
        <v>345</v>
      </c>
      <c r="T17" s="3" t="s">
        <v>340</v>
      </c>
      <c r="U17" s="3" t="s">
        <v>346</v>
      </c>
      <c r="AB17" s="3"/>
      <c r="AC17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2:7</v>
      </c>
      <c r="AD17" s="67" t="str" cm="1">
        <f t="array" ref="AD1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7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8" spans="1:31" ht="72" customHeight="1" thickTop="1" thickBot="1" x14ac:dyDescent="0.45">
      <c r="A18" s="23">
        <v>45591</v>
      </c>
      <c r="B18" s="3" t="s">
        <v>224</v>
      </c>
      <c r="C18" s="3" t="s">
        <v>86</v>
      </c>
      <c r="D18" s="3" t="s">
        <v>0</v>
      </c>
      <c r="E18" s="50" t="s">
        <v>273</v>
      </c>
      <c r="G18" s="5">
        <v>90000</v>
      </c>
      <c r="K18" s="3" t="s">
        <v>347</v>
      </c>
      <c r="L18" s="3" t="s">
        <v>348</v>
      </c>
      <c r="M18" s="3" t="s">
        <v>349</v>
      </c>
      <c r="N18" s="3" t="s">
        <v>350</v>
      </c>
      <c r="O18" s="3" t="s">
        <v>351</v>
      </c>
      <c r="P18" s="3" t="s">
        <v>352</v>
      </c>
      <c r="Q18" s="3" t="s">
        <v>353</v>
      </c>
      <c r="R18" s="3" t="s">
        <v>354</v>
      </c>
      <c r="AB18" s="3"/>
      <c r="AC18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8" s="67" t="str" cm="1">
        <f t="array" ref="AD1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8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9" spans="1:31" ht="72" customHeight="1" thickTop="1" thickBot="1" x14ac:dyDescent="0.45">
      <c r="A19" s="23">
        <v>45599</v>
      </c>
      <c r="B19" s="3" t="s">
        <v>355</v>
      </c>
      <c r="C19" s="3" t="s">
        <v>1100</v>
      </c>
      <c r="D19" s="3" t="s">
        <v>281</v>
      </c>
      <c r="E19" s="50" t="s">
        <v>273</v>
      </c>
      <c r="F19" s="5">
        <v>160000</v>
      </c>
      <c r="H19" s="5">
        <v>100</v>
      </c>
      <c r="K19" s="3" t="s">
        <v>356</v>
      </c>
      <c r="L19" s="3" t="s">
        <v>357</v>
      </c>
      <c r="M19" s="3" t="s">
        <v>358</v>
      </c>
      <c r="N19" s="3" t="s">
        <v>359</v>
      </c>
      <c r="O19" s="3" t="s">
        <v>360</v>
      </c>
      <c r="AB19" s="3"/>
      <c r="AC19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5:0</v>
      </c>
      <c r="AD19" s="67" t="str" cm="1">
        <f t="array" ref="AD1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9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0" spans="1:31" ht="72" customHeight="1" thickTop="1" thickBot="1" x14ac:dyDescent="0.45">
      <c r="A20" s="23">
        <v>45601</v>
      </c>
      <c r="B20" s="3" t="s">
        <v>355</v>
      </c>
      <c r="C20" s="3" t="s">
        <v>28</v>
      </c>
      <c r="D20" s="3" t="s">
        <v>225</v>
      </c>
      <c r="E20" s="50" t="s">
        <v>226</v>
      </c>
      <c r="I20" s="5" t="s">
        <v>240</v>
      </c>
      <c r="K20" s="3" t="s">
        <v>361</v>
      </c>
      <c r="L20" s="3" t="s">
        <v>362</v>
      </c>
      <c r="M20" s="3" t="s">
        <v>363</v>
      </c>
      <c r="R20" s="3" t="s">
        <v>364</v>
      </c>
      <c r="S20" s="3" t="s">
        <v>365</v>
      </c>
      <c r="T20" s="3" t="s">
        <v>366</v>
      </c>
      <c r="U20" s="3" t="s">
        <v>362</v>
      </c>
      <c r="AB20" s="3"/>
      <c r="AC20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6:1</v>
      </c>
      <c r="AD20" s="67" t="str" cm="1">
        <f t="array" ref="AD2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20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1" spans="1:31" ht="72" customHeight="1" thickTop="1" thickBot="1" x14ac:dyDescent="0.45">
      <c r="A21" s="23">
        <v>45605</v>
      </c>
      <c r="B21" s="3" t="s">
        <v>355</v>
      </c>
      <c r="C21" s="3" t="s">
        <v>29</v>
      </c>
      <c r="D21" s="3" t="s">
        <v>225</v>
      </c>
      <c r="E21" s="50" t="s">
        <v>226</v>
      </c>
      <c r="I21" s="5" t="s">
        <v>240</v>
      </c>
      <c r="K21" s="3" t="s">
        <v>367</v>
      </c>
      <c r="L21" s="3" t="s">
        <v>368</v>
      </c>
      <c r="M21" s="3" t="s">
        <v>258</v>
      </c>
      <c r="N21" s="3" t="s">
        <v>369</v>
      </c>
      <c r="R21" s="3" t="s">
        <v>370</v>
      </c>
      <c r="S21" s="3" t="s">
        <v>371</v>
      </c>
      <c r="T21" s="3" t="s">
        <v>372</v>
      </c>
      <c r="U21" s="3" t="s">
        <v>367</v>
      </c>
      <c r="AB21" s="3"/>
      <c r="AC21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21" s="67" t="str" cm="1">
        <f t="array" ref="AD2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21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22" spans="1:31" ht="72" customHeight="1" thickTop="1" thickBot="1" x14ac:dyDescent="0.45">
      <c r="A22" s="23">
        <v>45609</v>
      </c>
      <c r="B22" s="3" t="s">
        <v>355</v>
      </c>
      <c r="C22" s="3" t="s">
        <v>9</v>
      </c>
      <c r="D22" s="3" t="s">
        <v>225</v>
      </c>
      <c r="E22" s="50" t="s">
        <v>226</v>
      </c>
      <c r="I22" s="5" t="s">
        <v>240</v>
      </c>
      <c r="K22" s="3" t="s">
        <v>373</v>
      </c>
      <c r="L22" s="3" t="s">
        <v>374</v>
      </c>
      <c r="M22" s="3" t="s">
        <v>375</v>
      </c>
      <c r="N22" s="3" t="s">
        <v>376</v>
      </c>
      <c r="O22" s="3" t="s">
        <v>377</v>
      </c>
      <c r="R22" s="3" t="s">
        <v>378</v>
      </c>
      <c r="S22" s="3" t="s">
        <v>379</v>
      </c>
      <c r="T22" s="3" t="s">
        <v>380</v>
      </c>
      <c r="U22" s="3" t="s">
        <v>381</v>
      </c>
      <c r="AA22" s="3" t="s">
        <v>382</v>
      </c>
      <c r="AB22" s="3"/>
      <c r="AC22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4:6</v>
      </c>
      <c r="AD22" s="67" t="str" cm="1">
        <f t="array" ref="AD2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22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23" spans="1:31" ht="72" customHeight="1" thickTop="1" thickBot="1" x14ac:dyDescent="0.45">
      <c r="A23" s="23">
        <v>45613</v>
      </c>
      <c r="B23" s="3" t="s">
        <v>355</v>
      </c>
      <c r="C23" s="3" t="s">
        <v>28</v>
      </c>
      <c r="D23" s="3" t="s">
        <v>225</v>
      </c>
      <c r="E23" s="50" t="s">
        <v>226</v>
      </c>
      <c r="I23" s="5" t="s">
        <v>240</v>
      </c>
      <c r="K23" s="3" t="s">
        <v>383</v>
      </c>
      <c r="L23" s="3" t="s">
        <v>384</v>
      </c>
      <c r="M23" s="3" t="s">
        <v>385</v>
      </c>
      <c r="N23" s="3" t="s">
        <v>386</v>
      </c>
      <c r="R23" s="3" t="s">
        <v>387</v>
      </c>
      <c r="S23" s="3" t="s">
        <v>388</v>
      </c>
      <c r="T23" s="3" t="s">
        <v>365</v>
      </c>
      <c r="AA23" s="3" t="s">
        <v>389</v>
      </c>
      <c r="AB23" s="3"/>
      <c r="AC23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23" s="67" t="str" cm="1">
        <f t="array" ref="AD2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23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4" spans="1:31" ht="72" customHeight="1" thickTop="1" thickBot="1" x14ac:dyDescent="0.45">
      <c r="A24" s="23">
        <v>45615</v>
      </c>
      <c r="B24" s="3" t="s">
        <v>355</v>
      </c>
      <c r="C24" s="3" t="s">
        <v>3</v>
      </c>
      <c r="D24" s="3" t="s">
        <v>225</v>
      </c>
      <c r="E24" s="50" t="s">
        <v>390</v>
      </c>
      <c r="I24" s="5" t="s">
        <v>240</v>
      </c>
      <c r="K24" s="3" t="s">
        <v>391</v>
      </c>
      <c r="L24" s="3" t="s">
        <v>392</v>
      </c>
      <c r="M24" s="3" t="s">
        <v>393</v>
      </c>
      <c r="N24" s="3" t="s">
        <v>394</v>
      </c>
      <c r="O24" s="3" t="s">
        <v>395</v>
      </c>
      <c r="P24" s="3" t="s">
        <v>396</v>
      </c>
      <c r="AB24" s="3"/>
      <c r="AC24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24" s="67" t="str" cm="1">
        <f t="array" ref="AD2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4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5" spans="1:31" ht="72" customHeight="1" thickTop="1" thickBot="1" x14ac:dyDescent="0.45">
      <c r="A25" s="23">
        <v>45617</v>
      </c>
      <c r="B25" s="3" t="s">
        <v>355</v>
      </c>
      <c r="C25" s="3" t="s">
        <v>144</v>
      </c>
      <c r="D25" s="3" t="s">
        <v>225</v>
      </c>
      <c r="E25" s="50" t="s">
        <v>390</v>
      </c>
      <c r="K25" s="3" t="s">
        <v>397</v>
      </c>
      <c r="L25" s="3" t="s">
        <v>398</v>
      </c>
      <c r="M25" s="3" t="s">
        <v>399</v>
      </c>
      <c r="N25" s="3" t="s">
        <v>399</v>
      </c>
      <c r="O25" s="3" t="s">
        <v>400</v>
      </c>
      <c r="P25" s="3" t="s">
        <v>401</v>
      </c>
      <c r="AB25" s="3"/>
      <c r="AC25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25" s="67" t="str" cm="1">
        <f t="array" ref="AD2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5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6" spans="1:31" ht="72" customHeight="1" thickTop="1" thickBot="1" x14ac:dyDescent="0.45">
      <c r="A26" s="23">
        <v>45617</v>
      </c>
      <c r="B26" s="3" t="s">
        <v>355</v>
      </c>
      <c r="C26" s="3" t="s">
        <v>3</v>
      </c>
      <c r="D26" s="3" t="s">
        <v>225</v>
      </c>
      <c r="E26" s="50" t="s">
        <v>390</v>
      </c>
      <c r="I26" s="5" t="s">
        <v>240</v>
      </c>
      <c r="K26" s="3" t="s">
        <v>402</v>
      </c>
      <c r="L26" s="3" t="s">
        <v>403</v>
      </c>
      <c r="M26" s="3" t="s">
        <v>404</v>
      </c>
      <c r="N26" s="3" t="s">
        <v>405</v>
      </c>
      <c r="O26" s="3" t="s">
        <v>231</v>
      </c>
      <c r="P26" s="3" t="s">
        <v>406</v>
      </c>
      <c r="Q26" s="3" t="s">
        <v>407</v>
      </c>
      <c r="AB26" s="3"/>
      <c r="AC26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26" s="67" t="str" cm="1">
        <f t="array" ref="AD2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26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27" spans="1:31" ht="72" customHeight="1" thickTop="1" thickBot="1" x14ac:dyDescent="0.45">
      <c r="A27" s="23">
        <v>45620</v>
      </c>
      <c r="B27" s="3" t="s">
        <v>355</v>
      </c>
      <c r="C27" s="3" t="s">
        <v>9</v>
      </c>
      <c r="D27" s="3" t="s">
        <v>408</v>
      </c>
      <c r="E27" s="50" t="s">
        <v>390</v>
      </c>
      <c r="K27" s="3" t="s">
        <v>409</v>
      </c>
      <c r="L27" s="3" t="s">
        <v>410</v>
      </c>
      <c r="M27" s="3" t="s">
        <v>411</v>
      </c>
      <c r="N27" s="3" t="s">
        <v>412</v>
      </c>
      <c r="O27" s="3" t="s">
        <v>413</v>
      </c>
      <c r="AB27" s="3"/>
      <c r="AC27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27" s="67" t="str" cm="1">
        <f t="array" ref="AD2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7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8" spans="1:31" ht="72" customHeight="1" thickTop="1" thickBot="1" x14ac:dyDescent="0.45">
      <c r="A28" s="23">
        <v>45623</v>
      </c>
      <c r="B28" s="3" t="s">
        <v>355</v>
      </c>
      <c r="C28" s="3" t="s">
        <v>28</v>
      </c>
      <c r="D28" s="3" t="s">
        <v>408</v>
      </c>
      <c r="E28" s="50" t="s">
        <v>390</v>
      </c>
      <c r="K28" s="3" t="s">
        <v>414</v>
      </c>
      <c r="L28" s="3" t="s">
        <v>415</v>
      </c>
      <c r="M28" s="3" t="s">
        <v>416</v>
      </c>
      <c r="N28" s="3" t="s">
        <v>417</v>
      </c>
      <c r="O28" s="3" t="s">
        <v>366</v>
      </c>
      <c r="P28" s="3" t="s">
        <v>418</v>
      </c>
      <c r="AB28" s="3"/>
      <c r="AC28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28" s="67" t="str" cm="1">
        <f t="array" ref="AD2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8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9" spans="1:31" ht="72" customHeight="1" thickTop="1" thickBot="1" x14ac:dyDescent="0.45">
      <c r="A29" s="23">
        <v>45634</v>
      </c>
      <c r="B29" s="3" t="s">
        <v>355</v>
      </c>
      <c r="C29" s="3" t="s">
        <v>144</v>
      </c>
      <c r="D29" s="3" t="s">
        <v>408</v>
      </c>
      <c r="E29" s="50" t="s">
        <v>273</v>
      </c>
      <c r="K29" s="3" t="s">
        <v>419</v>
      </c>
      <c r="L29" s="3" t="s">
        <v>420</v>
      </c>
      <c r="M29" s="3" t="s">
        <v>421</v>
      </c>
      <c r="N29" s="3" t="s">
        <v>399</v>
      </c>
      <c r="O29" s="3" t="s">
        <v>336</v>
      </c>
      <c r="P29" s="3" t="s">
        <v>422</v>
      </c>
      <c r="Q29" s="3" t="s">
        <v>423</v>
      </c>
      <c r="R29" s="3" t="s">
        <v>424</v>
      </c>
      <c r="AB29" s="3"/>
      <c r="AC29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29" s="67" t="str" cm="1">
        <f t="array" ref="AD2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9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0" spans="1:31" ht="72" customHeight="1" thickTop="1" thickBot="1" x14ac:dyDescent="0.45">
      <c r="A30" s="23">
        <v>45641</v>
      </c>
      <c r="B30" s="3" t="s">
        <v>355</v>
      </c>
      <c r="C30" s="3" t="s">
        <v>9</v>
      </c>
      <c r="D30" s="3" t="s">
        <v>408</v>
      </c>
      <c r="E30" s="50" t="s">
        <v>273</v>
      </c>
      <c r="K30" s="3" t="s">
        <v>377</v>
      </c>
      <c r="L30" s="3" t="s">
        <v>425</v>
      </c>
      <c r="M30" s="3" t="s">
        <v>426</v>
      </c>
      <c r="N30" s="3" t="s">
        <v>427</v>
      </c>
      <c r="O30" s="3" t="s">
        <v>428</v>
      </c>
      <c r="P30" s="3" t="s">
        <v>429</v>
      </c>
      <c r="Q30" s="3" t="s">
        <v>375</v>
      </c>
      <c r="AB30" s="3"/>
      <c r="AC30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30" s="67" t="str" cm="1">
        <f t="array" ref="AD3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30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1" spans="1:31" ht="72" customHeight="1" thickTop="1" thickBot="1" x14ac:dyDescent="0.45">
      <c r="A31" s="23">
        <v>45649</v>
      </c>
      <c r="B31" s="3" t="s">
        <v>355</v>
      </c>
      <c r="C31" s="3" t="s">
        <v>12</v>
      </c>
      <c r="D31" s="3" t="s">
        <v>408</v>
      </c>
      <c r="E31" s="50" t="s">
        <v>273</v>
      </c>
      <c r="K31" s="3" t="s">
        <v>430</v>
      </c>
      <c r="L31" s="3" t="s">
        <v>431</v>
      </c>
      <c r="M31" s="3" t="s">
        <v>432</v>
      </c>
      <c r="N31" s="3" t="s">
        <v>433</v>
      </c>
      <c r="O31" s="3" t="s">
        <v>434</v>
      </c>
      <c r="P31" s="3" t="s">
        <v>435</v>
      </c>
      <c r="Q31" s="3" t="s">
        <v>436</v>
      </c>
      <c r="AB31" s="3"/>
      <c r="AC31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31" s="67" t="str" cm="1">
        <f t="array" ref="AD3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31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2" spans="1:31" ht="72" customHeight="1" thickTop="1" thickBot="1" x14ac:dyDescent="0.45">
      <c r="A32" s="23">
        <v>45715</v>
      </c>
      <c r="B32" s="3" t="s">
        <v>355</v>
      </c>
      <c r="C32" s="3" t="s">
        <v>3</v>
      </c>
      <c r="D32" s="3" t="s">
        <v>0</v>
      </c>
      <c r="E32" s="50" t="s">
        <v>273</v>
      </c>
      <c r="F32" s="5">
        <v>430000</v>
      </c>
      <c r="K32" s="3" t="s">
        <v>437</v>
      </c>
      <c r="L32" s="3" t="s">
        <v>438</v>
      </c>
      <c r="M32" s="3" t="s">
        <v>439</v>
      </c>
      <c r="N32" s="3" t="s">
        <v>440</v>
      </c>
      <c r="O32" s="3" t="s">
        <v>441</v>
      </c>
      <c r="P32" s="3" t="s">
        <v>442</v>
      </c>
      <c r="Q32" s="3" t="s">
        <v>443</v>
      </c>
      <c r="AB32" s="3"/>
      <c r="AC32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32" s="67" t="str" cm="1">
        <f t="array" ref="AD3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32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3" spans="1:31" ht="72" customHeight="1" thickTop="1" thickBot="1" x14ac:dyDescent="0.45">
      <c r="A33" s="23">
        <v>45716</v>
      </c>
      <c r="B33" s="3" t="s">
        <v>355</v>
      </c>
      <c r="C33" s="3" t="s">
        <v>9</v>
      </c>
      <c r="D33" s="3" t="s">
        <v>225</v>
      </c>
      <c r="E33" s="50" t="s">
        <v>226</v>
      </c>
      <c r="H33" s="5">
        <v>100</v>
      </c>
      <c r="I33" s="5">
        <v>30</v>
      </c>
      <c r="K33" s="3" t="s">
        <v>444</v>
      </c>
      <c r="L33" s="3" t="s">
        <v>445</v>
      </c>
      <c r="M33" s="3" t="s">
        <v>446</v>
      </c>
      <c r="R33" s="3" t="s">
        <v>447</v>
      </c>
      <c r="S33" s="3" t="s">
        <v>448</v>
      </c>
      <c r="T33" s="3" t="s">
        <v>449</v>
      </c>
      <c r="AB33" s="3"/>
      <c r="AC33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0:6</v>
      </c>
      <c r="AD33" s="67" t="str" cm="1">
        <f t="array" ref="AD3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33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4" spans="1:31" ht="72" customHeight="1" thickTop="1" thickBot="1" x14ac:dyDescent="0.45">
      <c r="A34" s="23">
        <v>45717</v>
      </c>
      <c r="B34" s="3" t="s">
        <v>355</v>
      </c>
      <c r="C34" s="3" t="s">
        <v>28</v>
      </c>
      <c r="D34" s="3" t="s">
        <v>225</v>
      </c>
      <c r="E34" s="50" t="s">
        <v>226</v>
      </c>
      <c r="H34" s="5">
        <v>100</v>
      </c>
      <c r="I34" s="5">
        <v>100</v>
      </c>
      <c r="K34" s="3" t="s">
        <v>450</v>
      </c>
      <c r="L34" s="3" t="s">
        <v>451</v>
      </c>
      <c r="M34" s="3" t="s">
        <v>452</v>
      </c>
      <c r="N34" s="3" t="s">
        <v>453</v>
      </c>
      <c r="O34" s="3" t="s">
        <v>454</v>
      </c>
      <c r="R34" s="3" t="s">
        <v>455</v>
      </c>
      <c r="S34" s="3" t="s">
        <v>456</v>
      </c>
      <c r="T34" s="3" t="s">
        <v>457</v>
      </c>
      <c r="AA34" s="3" t="s">
        <v>453</v>
      </c>
      <c r="AB34" s="3"/>
      <c r="AC34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34" s="67" t="str" cm="1">
        <f t="array" ref="AD3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34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5" spans="1:31" ht="72" customHeight="1" thickTop="1" thickBot="1" x14ac:dyDescent="0.45">
      <c r="A35" s="23">
        <v>45718</v>
      </c>
      <c r="B35" s="3" t="s">
        <v>355</v>
      </c>
      <c r="C35" s="3" t="s">
        <v>145</v>
      </c>
      <c r="D35" s="3" t="s">
        <v>225</v>
      </c>
      <c r="E35" s="50" t="s">
        <v>226</v>
      </c>
      <c r="I35" s="5">
        <v>50</v>
      </c>
      <c r="K35" s="3" t="s">
        <v>458</v>
      </c>
      <c r="L35" s="3" t="s">
        <v>459</v>
      </c>
      <c r="M35" s="3" t="s">
        <v>460</v>
      </c>
      <c r="N35" s="3" t="s">
        <v>461</v>
      </c>
      <c r="R35" s="3" t="s">
        <v>462</v>
      </c>
      <c r="S35" s="3" t="s">
        <v>463</v>
      </c>
      <c r="T35" s="3" t="s">
        <v>464</v>
      </c>
      <c r="U35" s="3" t="s">
        <v>465</v>
      </c>
      <c r="V35" s="3" t="s">
        <v>466</v>
      </c>
      <c r="AB35" s="3"/>
      <c r="AC35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35" s="67" t="str" cm="1">
        <f t="array" ref="AD3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35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6" spans="1:31" ht="72" customHeight="1" thickTop="1" thickBot="1" x14ac:dyDescent="0.45">
      <c r="A36" s="23">
        <v>45719</v>
      </c>
      <c r="B36" s="3" t="s">
        <v>355</v>
      </c>
      <c r="C36" s="3" t="s">
        <v>29</v>
      </c>
      <c r="D36" s="3" t="s">
        <v>225</v>
      </c>
      <c r="E36" s="50" t="s">
        <v>226</v>
      </c>
      <c r="J36" s="5">
        <v>20000</v>
      </c>
      <c r="K36" s="3" t="s">
        <v>467</v>
      </c>
      <c r="L36" s="3" t="s">
        <v>468</v>
      </c>
      <c r="M36" s="3" t="s">
        <v>469</v>
      </c>
      <c r="N36" s="3" t="s">
        <v>286</v>
      </c>
      <c r="O36" s="3" t="s">
        <v>470</v>
      </c>
      <c r="R36" s="3" t="s">
        <v>471</v>
      </c>
      <c r="S36" s="3" t="s">
        <v>472</v>
      </c>
      <c r="T36" s="3" t="s">
        <v>473</v>
      </c>
      <c r="U36" s="3" t="s">
        <v>474</v>
      </c>
      <c r="AB36" s="3"/>
      <c r="AC36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36" s="67" t="str" cm="1">
        <f t="array" ref="AD3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36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7" spans="1:31" ht="72" customHeight="1" thickTop="1" thickBot="1" x14ac:dyDescent="0.45">
      <c r="A37" s="23">
        <v>45720</v>
      </c>
      <c r="B37" s="3" t="s">
        <v>355</v>
      </c>
      <c r="C37" s="3" t="s">
        <v>32</v>
      </c>
      <c r="D37" s="3" t="s">
        <v>225</v>
      </c>
      <c r="E37" s="50" t="s">
        <v>226</v>
      </c>
      <c r="J37" s="5">
        <v>5000</v>
      </c>
      <c r="K37" s="3" t="s">
        <v>475</v>
      </c>
      <c r="L37" s="3" t="s">
        <v>476</v>
      </c>
      <c r="M37" s="3" t="s">
        <v>477</v>
      </c>
      <c r="N37" s="3" t="s">
        <v>478</v>
      </c>
      <c r="R37" s="3" t="s">
        <v>479</v>
      </c>
      <c r="S37" s="3" t="s">
        <v>480</v>
      </c>
      <c r="T37" s="3" t="s">
        <v>476</v>
      </c>
      <c r="U37" s="3" t="s">
        <v>481</v>
      </c>
      <c r="AB37" s="3"/>
      <c r="AC37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37" s="67" t="str" cm="1">
        <f t="array" ref="AD3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37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8" spans="1:31" ht="72" customHeight="1" thickTop="1" thickBot="1" x14ac:dyDescent="0.45">
      <c r="A38" s="23">
        <v>45721</v>
      </c>
      <c r="B38" s="3" t="s">
        <v>355</v>
      </c>
      <c r="C38" s="3" t="s">
        <v>35</v>
      </c>
      <c r="D38" s="3" t="s">
        <v>225</v>
      </c>
      <c r="E38" s="50" t="s">
        <v>226</v>
      </c>
      <c r="I38" s="5">
        <v>50</v>
      </c>
      <c r="K38" s="3" t="s">
        <v>482</v>
      </c>
      <c r="L38" s="3" t="s">
        <v>483</v>
      </c>
      <c r="M38" s="3" t="s">
        <v>484</v>
      </c>
      <c r="N38" s="3" t="s">
        <v>485</v>
      </c>
      <c r="O38" s="3" t="s">
        <v>486</v>
      </c>
      <c r="R38" s="3" t="s">
        <v>487</v>
      </c>
      <c r="S38" s="3" t="s">
        <v>488</v>
      </c>
      <c r="T38" s="3" t="s">
        <v>489</v>
      </c>
      <c r="U38" s="3" t="s">
        <v>490</v>
      </c>
      <c r="V38" s="3" t="s">
        <v>491</v>
      </c>
      <c r="AA38" s="3" t="s">
        <v>492</v>
      </c>
      <c r="AB38" s="3"/>
      <c r="AC38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38" s="67" t="str" cm="1">
        <f t="array" ref="AD3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38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9" spans="1:31" ht="72" customHeight="1" thickTop="1" thickBot="1" x14ac:dyDescent="0.45">
      <c r="A39" s="23">
        <v>45722</v>
      </c>
      <c r="B39" s="3" t="s">
        <v>355</v>
      </c>
      <c r="C39" s="3" t="s">
        <v>12</v>
      </c>
      <c r="D39" s="3" t="s">
        <v>225</v>
      </c>
      <c r="E39" s="50" t="s">
        <v>226</v>
      </c>
      <c r="H39" s="5">
        <v>100</v>
      </c>
      <c r="I39" s="5">
        <v>100</v>
      </c>
      <c r="K39" s="3" t="s">
        <v>493</v>
      </c>
      <c r="L39" s="3" t="s">
        <v>494</v>
      </c>
      <c r="M39" s="3" t="s">
        <v>495</v>
      </c>
      <c r="N39" s="3" t="s">
        <v>496</v>
      </c>
      <c r="O39" s="3" t="s">
        <v>497</v>
      </c>
      <c r="R39" s="3" t="s">
        <v>498</v>
      </c>
      <c r="S39" s="3" t="s">
        <v>499</v>
      </c>
      <c r="T39" s="3" t="s">
        <v>500</v>
      </c>
      <c r="U39" s="3" t="s">
        <v>501</v>
      </c>
      <c r="AA39" s="3" t="s">
        <v>493</v>
      </c>
      <c r="AB39" s="3"/>
      <c r="AC39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6:4</v>
      </c>
      <c r="AD39" s="67" t="str" cm="1">
        <f t="array" ref="AD3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39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0" spans="1:31" ht="72" customHeight="1" thickTop="1" thickBot="1" x14ac:dyDescent="0.45">
      <c r="A40" s="23">
        <v>45729</v>
      </c>
      <c r="B40" s="3" t="s">
        <v>355</v>
      </c>
      <c r="C40" s="3" t="s">
        <v>19</v>
      </c>
      <c r="D40" s="3" t="s">
        <v>408</v>
      </c>
      <c r="E40" s="50" t="s">
        <v>390</v>
      </c>
      <c r="K40" s="3" t="s">
        <v>502</v>
      </c>
      <c r="L40" s="3" t="s">
        <v>503</v>
      </c>
      <c r="M40" s="3" t="s">
        <v>504</v>
      </c>
      <c r="N40" s="3" t="s">
        <v>505</v>
      </c>
      <c r="O40" s="3" t="s">
        <v>506</v>
      </c>
      <c r="P40" s="3" t="s">
        <v>507</v>
      </c>
      <c r="Q40" s="3" t="s">
        <v>508</v>
      </c>
      <c r="AB40" s="3"/>
      <c r="AC40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40" s="67" t="str" cm="1">
        <f t="array" ref="AD4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0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1" spans="1:31" ht="72" customHeight="1" thickTop="1" thickBot="1" x14ac:dyDescent="0.45">
      <c r="A41" s="23">
        <v>45732</v>
      </c>
      <c r="B41" s="3" t="s">
        <v>355</v>
      </c>
      <c r="C41" s="3" t="s">
        <v>28</v>
      </c>
      <c r="D41" s="3" t="s">
        <v>225</v>
      </c>
      <c r="E41" s="50" t="s">
        <v>226</v>
      </c>
      <c r="H41" s="5">
        <v>100</v>
      </c>
      <c r="I41" s="5">
        <v>50</v>
      </c>
      <c r="K41" s="3" t="s">
        <v>315</v>
      </c>
      <c r="L41" s="3" t="s">
        <v>509</v>
      </c>
      <c r="M41" s="3" t="s">
        <v>510</v>
      </c>
      <c r="N41" s="3" t="s">
        <v>511</v>
      </c>
      <c r="O41" s="3" t="s">
        <v>512</v>
      </c>
      <c r="R41" s="3" t="s">
        <v>513</v>
      </c>
      <c r="S41" s="3" t="s">
        <v>514</v>
      </c>
      <c r="T41" s="3" t="s">
        <v>515</v>
      </c>
      <c r="AA41" s="3" t="s">
        <v>415</v>
      </c>
      <c r="AB41" s="3"/>
      <c r="AC41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41" s="67" t="str" cm="1">
        <f t="array" ref="AD4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41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2" spans="1:31" ht="72" customHeight="1" thickTop="1" thickBot="1" x14ac:dyDescent="0.45">
      <c r="A42" s="23">
        <v>45734</v>
      </c>
      <c r="B42" s="3" t="s">
        <v>355</v>
      </c>
      <c r="C42" s="3" t="s">
        <v>3</v>
      </c>
      <c r="D42" s="3" t="s">
        <v>225</v>
      </c>
      <c r="E42" s="50" t="s">
        <v>226</v>
      </c>
      <c r="I42" s="5">
        <v>50</v>
      </c>
      <c r="K42" s="3" t="s">
        <v>516</v>
      </c>
      <c r="L42" s="3" t="s">
        <v>517</v>
      </c>
      <c r="M42" s="3" t="s">
        <v>518</v>
      </c>
      <c r="N42" s="3" t="s">
        <v>519</v>
      </c>
      <c r="R42" s="3" t="s">
        <v>520</v>
      </c>
      <c r="S42" s="3" t="s">
        <v>521</v>
      </c>
      <c r="T42" s="3" t="s">
        <v>437</v>
      </c>
      <c r="U42" s="3" t="s">
        <v>522</v>
      </c>
      <c r="AA42" s="3" t="s">
        <v>523</v>
      </c>
      <c r="AB42" s="3"/>
      <c r="AC42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42" s="67" t="str" cm="1">
        <f t="array" ref="AD4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42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3" spans="1:31" ht="72" customHeight="1" thickTop="1" thickBot="1" x14ac:dyDescent="0.45">
      <c r="A43" s="23">
        <v>45737</v>
      </c>
      <c r="B43" s="3" t="s">
        <v>355</v>
      </c>
      <c r="C43" s="3" t="s">
        <v>8</v>
      </c>
      <c r="D43" s="3" t="s">
        <v>408</v>
      </c>
      <c r="E43" s="50" t="s">
        <v>390</v>
      </c>
      <c r="K43" s="3" t="s">
        <v>524</v>
      </c>
      <c r="L43" s="3" t="s">
        <v>525</v>
      </c>
      <c r="M43" s="3" t="s">
        <v>526</v>
      </c>
      <c r="N43" s="3" t="s">
        <v>527</v>
      </c>
      <c r="AB43" s="3"/>
      <c r="AC43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0:4</v>
      </c>
      <c r="AD43" s="67" t="str" cm="1">
        <f t="array" ref="AD4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43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44" spans="1:31" ht="72" customHeight="1" thickTop="1" thickBot="1" x14ac:dyDescent="0.45">
      <c r="A44" s="23">
        <v>45747</v>
      </c>
      <c r="B44" s="3" t="s">
        <v>355</v>
      </c>
      <c r="C44" s="3" t="s">
        <v>3</v>
      </c>
      <c r="D44" s="3" t="s">
        <v>408</v>
      </c>
      <c r="E44" s="50" t="s">
        <v>249</v>
      </c>
      <c r="K44" s="3" t="s">
        <v>440</v>
      </c>
      <c r="L44" s="3" t="s">
        <v>528</v>
      </c>
      <c r="M44" s="3" t="s">
        <v>529</v>
      </c>
      <c r="N44" s="3" t="s">
        <v>437</v>
      </c>
      <c r="AB44" s="3"/>
      <c r="AC44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0:4</v>
      </c>
      <c r="AD44" s="67" t="str" cm="1">
        <f t="array" ref="AD4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44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45" spans="1:31" ht="72" customHeight="1" thickTop="1" thickBot="1" x14ac:dyDescent="0.45">
      <c r="A45" s="23">
        <v>45751</v>
      </c>
      <c r="B45" s="3" t="s">
        <v>355</v>
      </c>
      <c r="C45" s="3" t="s">
        <v>1100</v>
      </c>
      <c r="D45" s="3" t="s">
        <v>281</v>
      </c>
      <c r="E45" s="50" t="s">
        <v>530</v>
      </c>
      <c r="F45" s="5">
        <v>214200</v>
      </c>
      <c r="H45" s="5">
        <v>250</v>
      </c>
      <c r="K45" s="3" t="s">
        <v>531</v>
      </c>
      <c r="L45" s="3" t="s">
        <v>532</v>
      </c>
      <c r="M45" s="3" t="s">
        <v>533</v>
      </c>
      <c r="N45" s="3" t="s">
        <v>534</v>
      </c>
      <c r="O45" s="3" t="s">
        <v>271</v>
      </c>
      <c r="P45" s="3" t="s">
        <v>535</v>
      </c>
      <c r="Q45" s="3" t="s">
        <v>536</v>
      </c>
      <c r="R45" s="3" t="s">
        <v>537</v>
      </c>
      <c r="S45" s="3" t="s">
        <v>345</v>
      </c>
      <c r="T45" s="3" t="s">
        <v>532</v>
      </c>
      <c r="U45" s="3" t="s">
        <v>271</v>
      </c>
      <c r="V45" s="3" t="s">
        <v>538</v>
      </c>
      <c r="W45" s="3" t="s">
        <v>539</v>
      </c>
      <c r="AA45" s="3" t="s">
        <v>536</v>
      </c>
      <c r="AB45" s="3"/>
      <c r="AC45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8:6</v>
      </c>
      <c r="AD45" s="67" t="str" cm="1">
        <f t="array" ref="AD4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45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6" spans="1:31" ht="72" customHeight="1" thickTop="1" thickBot="1" x14ac:dyDescent="0.45">
      <c r="A46" s="23">
        <v>45757</v>
      </c>
      <c r="B46" s="3" t="s">
        <v>355</v>
      </c>
      <c r="C46" s="3" t="s">
        <v>29</v>
      </c>
      <c r="D46" s="3" t="s">
        <v>408</v>
      </c>
      <c r="E46" s="50" t="s">
        <v>390</v>
      </c>
      <c r="K46" s="3" t="s">
        <v>474</v>
      </c>
      <c r="L46" s="3" t="s">
        <v>540</v>
      </c>
      <c r="M46" s="3" t="s">
        <v>541</v>
      </c>
      <c r="N46" s="3" t="s">
        <v>542</v>
      </c>
      <c r="O46" s="3" t="s">
        <v>543</v>
      </c>
      <c r="P46" s="3" t="s">
        <v>544</v>
      </c>
      <c r="AB46" s="3"/>
      <c r="AC46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46" s="67" t="str" cm="1">
        <f t="array" ref="AD4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6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7" spans="1:31" ht="72" customHeight="1" thickTop="1" thickBot="1" x14ac:dyDescent="0.45">
      <c r="A47" s="23">
        <v>45761</v>
      </c>
      <c r="B47" s="3" t="s">
        <v>355</v>
      </c>
      <c r="C47" s="3" t="s">
        <v>12</v>
      </c>
      <c r="D47" s="3" t="s">
        <v>281</v>
      </c>
      <c r="E47" s="50" t="s">
        <v>234</v>
      </c>
      <c r="J47" s="5">
        <v>4000</v>
      </c>
      <c r="K47" s="3" t="s">
        <v>545</v>
      </c>
      <c r="L47" s="3" t="s">
        <v>546</v>
      </c>
      <c r="M47" s="3" t="s">
        <v>547</v>
      </c>
      <c r="AB47" s="3"/>
      <c r="AC47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0:3</v>
      </c>
      <c r="AD47" s="67" t="str" cm="1">
        <f t="array" ref="AD4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47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48" spans="1:31" ht="72" customHeight="1" thickTop="1" thickBot="1" x14ac:dyDescent="0.45">
      <c r="A48" s="23">
        <v>45766</v>
      </c>
      <c r="B48" s="3" t="s">
        <v>355</v>
      </c>
      <c r="C48" s="3" t="s">
        <v>34</v>
      </c>
      <c r="D48" s="3" t="s">
        <v>408</v>
      </c>
      <c r="E48" s="50" t="s">
        <v>249</v>
      </c>
      <c r="K48" s="3" t="s">
        <v>548</v>
      </c>
      <c r="L48" s="3" t="s">
        <v>549</v>
      </c>
      <c r="M48" s="3" t="s">
        <v>550</v>
      </c>
      <c r="N48" s="3" t="s">
        <v>551</v>
      </c>
      <c r="O48" s="3" t="s">
        <v>552</v>
      </c>
      <c r="P48" s="3" t="s">
        <v>553</v>
      </c>
      <c r="AB48" s="3"/>
      <c r="AC48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48" s="67" t="str" cm="1">
        <f t="array" ref="AD4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8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9" spans="1:31" ht="72" customHeight="1" thickTop="1" thickBot="1" x14ac:dyDescent="0.45">
      <c r="A49" s="23">
        <v>45771</v>
      </c>
      <c r="B49" s="3" t="s">
        <v>355</v>
      </c>
      <c r="C49" s="3" t="s">
        <v>1006</v>
      </c>
      <c r="D49" s="3" t="s">
        <v>408</v>
      </c>
      <c r="E49" s="50" t="s">
        <v>390</v>
      </c>
      <c r="K49" s="3" t="s">
        <v>554</v>
      </c>
      <c r="L49" s="3" t="s">
        <v>555</v>
      </c>
      <c r="M49" s="3" t="s">
        <v>556</v>
      </c>
      <c r="N49" s="3" t="s">
        <v>557</v>
      </c>
      <c r="O49" s="3" t="s">
        <v>558</v>
      </c>
      <c r="AB49" s="3"/>
      <c r="AC49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49" s="67" t="str" cm="1">
        <f t="array" ref="AD4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9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0" spans="1:31" ht="72" customHeight="1" thickTop="1" thickBot="1" x14ac:dyDescent="0.45">
      <c r="A50" s="23">
        <v>45778</v>
      </c>
      <c r="B50" s="3" t="s">
        <v>355</v>
      </c>
      <c r="C50" s="3" t="s">
        <v>12</v>
      </c>
      <c r="D50" s="3" t="s">
        <v>408</v>
      </c>
      <c r="E50" s="50" t="s">
        <v>249</v>
      </c>
      <c r="K50" s="3" t="s">
        <v>559</v>
      </c>
      <c r="L50" s="3" t="s">
        <v>560</v>
      </c>
      <c r="M50" s="3" t="s">
        <v>561</v>
      </c>
      <c r="N50" s="3" t="s">
        <v>562</v>
      </c>
      <c r="O50" s="3" t="s">
        <v>563</v>
      </c>
      <c r="P50" s="3" t="s">
        <v>564</v>
      </c>
      <c r="AB50" s="3"/>
      <c r="AC50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50" s="67" t="str" cm="1">
        <f t="array" ref="AD5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0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1" spans="1:31" ht="72" customHeight="1" thickTop="1" thickBot="1" x14ac:dyDescent="0.45">
      <c r="A51" s="23">
        <v>45786</v>
      </c>
      <c r="B51" s="3" t="s">
        <v>355</v>
      </c>
      <c r="C51" s="3" t="s">
        <v>9</v>
      </c>
      <c r="D51" s="3" t="s">
        <v>408</v>
      </c>
      <c r="E51" s="50" t="s">
        <v>249</v>
      </c>
      <c r="K51" s="3" t="s">
        <v>565</v>
      </c>
      <c r="L51" s="3" t="s">
        <v>566</v>
      </c>
      <c r="M51" s="3" t="s">
        <v>567</v>
      </c>
      <c r="N51" s="3" t="s">
        <v>568</v>
      </c>
      <c r="O51" s="3" t="s">
        <v>569</v>
      </c>
      <c r="P51" s="3" t="s">
        <v>570</v>
      </c>
      <c r="Q51" s="3" t="s">
        <v>570</v>
      </c>
      <c r="AB51" s="3"/>
      <c r="AC51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1" s="67" t="str" cm="1">
        <f t="array" ref="AD5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1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2" spans="1:31" ht="72" customHeight="1" thickTop="1" thickBot="1" x14ac:dyDescent="0.45">
      <c r="A52" s="23">
        <v>45790</v>
      </c>
      <c r="B52" s="3" t="s">
        <v>355</v>
      </c>
      <c r="C52" s="3" t="s">
        <v>1100</v>
      </c>
      <c r="D52" s="3" t="s">
        <v>281</v>
      </c>
      <c r="E52" s="50" t="s">
        <v>273</v>
      </c>
      <c r="G52" s="5">
        <v>900000</v>
      </c>
      <c r="K52" s="3" t="s">
        <v>571</v>
      </c>
      <c r="L52" s="3" t="s">
        <v>572</v>
      </c>
      <c r="M52" s="3" t="s">
        <v>524</v>
      </c>
      <c r="N52" s="3" t="s">
        <v>573</v>
      </c>
      <c r="O52" s="3" t="s">
        <v>574</v>
      </c>
      <c r="P52" s="3" t="s">
        <v>575</v>
      </c>
      <c r="AB52" s="3"/>
      <c r="AC52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1:5</v>
      </c>
      <c r="AD52" s="67" t="str" cm="1">
        <f t="array" ref="AD5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52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3" spans="1:31" ht="72" customHeight="1" thickTop="1" thickBot="1" x14ac:dyDescent="0.45">
      <c r="A53" s="23">
        <v>45794</v>
      </c>
      <c r="B53" s="3" t="s">
        <v>355</v>
      </c>
      <c r="C53" s="3" t="s">
        <v>28</v>
      </c>
      <c r="D53" s="3" t="s">
        <v>408</v>
      </c>
      <c r="E53" s="50" t="s">
        <v>249</v>
      </c>
      <c r="K53" s="3" t="s">
        <v>576</v>
      </c>
      <c r="L53" s="3" t="s">
        <v>510</v>
      </c>
      <c r="M53" s="3" t="s">
        <v>577</v>
      </c>
      <c r="N53" s="3" t="s">
        <v>455</v>
      </c>
      <c r="O53" s="3" t="s">
        <v>578</v>
      </c>
      <c r="P53" s="3" t="s">
        <v>579</v>
      </c>
      <c r="Q53" s="3" t="s">
        <v>580</v>
      </c>
      <c r="AB53" s="3"/>
      <c r="AC53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3" s="67" t="str" cm="1">
        <f t="array" ref="AD5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3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4" spans="1:31" ht="72" customHeight="1" thickTop="1" thickBot="1" x14ac:dyDescent="0.45">
      <c r="A54" s="23">
        <v>45805</v>
      </c>
      <c r="B54" s="3" t="s">
        <v>355</v>
      </c>
      <c r="C54" s="3" t="s">
        <v>145</v>
      </c>
      <c r="D54" s="3" t="s">
        <v>408</v>
      </c>
      <c r="E54" s="50" t="s">
        <v>249</v>
      </c>
      <c r="K54" s="3" t="s">
        <v>458</v>
      </c>
      <c r="L54" s="3" t="s">
        <v>581</v>
      </c>
      <c r="M54" s="3" t="s">
        <v>582</v>
      </c>
      <c r="N54" s="3" t="s">
        <v>583</v>
      </c>
      <c r="O54" s="3" t="s">
        <v>584</v>
      </c>
      <c r="P54" s="3" t="s">
        <v>585</v>
      </c>
      <c r="Q54" s="3" t="s">
        <v>586</v>
      </c>
      <c r="AB54" s="3"/>
      <c r="AC54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4" s="67" t="str" cm="1">
        <f t="array" ref="AD5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4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5" spans="1:31" ht="72" customHeight="1" thickTop="1" thickBot="1" x14ac:dyDescent="0.45">
      <c r="A55" s="23">
        <v>45809</v>
      </c>
      <c r="B55" s="3" t="s">
        <v>355</v>
      </c>
      <c r="C55" s="3" t="s">
        <v>12</v>
      </c>
      <c r="D55" s="3" t="s">
        <v>281</v>
      </c>
      <c r="E55" s="50" t="s">
        <v>390</v>
      </c>
      <c r="H55" s="5">
        <v>100</v>
      </c>
      <c r="J55" s="5">
        <v>25000</v>
      </c>
      <c r="K55" s="3" t="s">
        <v>587</v>
      </c>
      <c r="L55" s="3" t="s">
        <v>499</v>
      </c>
      <c r="M55" s="3" t="s">
        <v>588</v>
      </c>
      <c r="N55" s="3" t="s">
        <v>589</v>
      </c>
      <c r="O55" s="3" t="s">
        <v>590</v>
      </c>
      <c r="AB55" s="3"/>
      <c r="AC55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55" s="67" t="str" cm="1">
        <f t="array" ref="AD5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5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6" spans="1:31" ht="72" customHeight="1" thickTop="1" thickBot="1" x14ac:dyDescent="0.45">
      <c r="A56" s="23">
        <v>45815</v>
      </c>
      <c r="B56" s="3" t="s">
        <v>355</v>
      </c>
      <c r="C56" s="3" t="s">
        <v>32</v>
      </c>
      <c r="D56" s="3" t="s">
        <v>408</v>
      </c>
      <c r="E56" s="50" t="s">
        <v>249</v>
      </c>
      <c r="K56" s="3" t="s">
        <v>591</v>
      </c>
      <c r="L56" s="3" t="s">
        <v>592</v>
      </c>
      <c r="M56" s="3" t="s">
        <v>593</v>
      </c>
      <c r="N56" s="3" t="s">
        <v>594</v>
      </c>
      <c r="O56" s="3" t="s">
        <v>595</v>
      </c>
      <c r="P56" s="3" t="s">
        <v>596</v>
      </c>
      <c r="Q56" s="3" t="s">
        <v>597</v>
      </c>
      <c r="AB56" s="3"/>
      <c r="AC56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56" s="67" t="str" cm="1">
        <f t="array" ref="AD5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56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7" spans="1:31" ht="72" customHeight="1" thickTop="1" thickBot="1" x14ac:dyDescent="0.45">
      <c r="A57" s="23">
        <v>45820</v>
      </c>
      <c r="B57" s="3" t="s">
        <v>355</v>
      </c>
      <c r="C57" s="3" t="s">
        <v>1100</v>
      </c>
      <c r="D57" s="3" t="s">
        <v>281</v>
      </c>
      <c r="E57" s="50" t="s">
        <v>273</v>
      </c>
      <c r="G57" s="5">
        <v>20000</v>
      </c>
      <c r="H57" s="5">
        <v>250</v>
      </c>
      <c r="K57" s="3" t="s">
        <v>492</v>
      </c>
      <c r="L57" s="3" t="s">
        <v>598</v>
      </c>
      <c r="M57" s="3" t="s">
        <v>599</v>
      </c>
      <c r="N57" s="3" t="s">
        <v>600</v>
      </c>
      <c r="O57" s="3" t="s">
        <v>601</v>
      </c>
      <c r="P57" s="3" t="s">
        <v>602</v>
      </c>
      <c r="Q57" s="3" t="s">
        <v>603</v>
      </c>
      <c r="R57" s="3" t="s">
        <v>604</v>
      </c>
      <c r="AB57" s="3"/>
      <c r="AC57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57" s="67" t="str" cm="1">
        <f t="array" ref="AD5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57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8" spans="1:31" ht="72" customHeight="1" thickTop="1" thickBot="1" x14ac:dyDescent="0.45">
      <c r="A58" s="23">
        <v>45823</v>
      </c>
      <c r="B58" s="3" t="s">
        <v>355</v>
      </c>
      <c r="C58" s="3" t="s">
        <v>1101</v>
      </c>
      <c r="D58" s="3" t="s">
        <v>281</v>
      </c>
      <c r="E58" s="50" t="s">
        <v>273</v>
      </c>
      <c r="G58" s="5">
        <v>200000</v>
      </c>
      <c r="H58" s="5">
        <v>100</v>
      </c>
      <c r="K58" s="3" t="s">
        <v>605</v>
      </c>
      <c r="L58" s="3" t="s">
        <v>606</v>
      </c>
      <c r="M58" s="3" t="s">
        <v>607</v>
      </c>
      <c r="N58" s="3" t="s">
        <v>608</v>
      </c>
      <c r="O58" s="3" t="s">
        <v>609</v>
      </c>
      <c r="P58" s="3" t="s">
        <v>610</v>
      </c>
      <c r="Q58" s="3" t="s">
        <v>611</v>
      </c>
      <c r="AB58" s="3"/>
      <c r="AC58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58" s="67" t="str" cm="1">
        <f t="array" ref="AD5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58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59" spans="1:31" ht="72" customHeight="1" thickTop="1" thickBot="1" x14ac:dyDescent="0.45">
      <c r="A59" s="23">
        <v>45826</v>
      </c>
      <c r="B59" s="3" t="s">
        <v>355</v>
      </c>
      <c r="C59" s="3" t="s">
        <v>29</v>
      </c>
      <c r="D59" s="3" t="s">
        <v>225</v>
      </c>
      <c r="E59" s="50" t="s">
        <v>390</v>
      </c>
      <c r="J59" s="5">
        <v>10000</v>
      </c>
      <c r="K59" s="3" t="s">
        <v>612</v>
      </c>
      <c r="L59" s="3" t="s">
        <v>613</v>
      </c>
      <c r="M59" s="3" t="s">
        <v>614</v>
      </c>
      <c r="N59" s="3" t="s">
        <v>615</v>
      </c>
      <c r="O59" s="3" t="s">
        <v>616</v>
      </c>
      <c r="P59" s="3" t="s">
        <v>617</v>
      </c>
      <c r="Q59" s="3" t="s">
        <v>618</v>
      </c>
      <c r="AB59" s="3"/>
      <c r="AC59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9" s="67" t="str" cm="1">
        <f t="array" ref="AD5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9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0" spans="1:31" ht="72" customHeight="1" thickTop="1" thickBot="1" x14ac:dyDescent="0.45">
      <c r="A60" s="23">
        <v>45826</v>
      </c>
      <c r="B60" s="3" t="s">
        <v>355</v>
      </c>
      <c r="C60" s="3" t="s">
        <v>1100</v>
      </c>
      <c r="D60" s="3" t="s">
        <v>281</v>
      </c>
      <c r="E60" s="50" t="s">
        <v>619</v>
      </c>
      <c r="F60" s="5">
        <v>27000</v>
      </c>
      <c r="K60" s="3" t="s">
        <v>620</v>
      </c>
      <c r="L60" s="3" t="s">
        <v>621</v>
      </c>
      <c r="M60" s="3" t="s">
        <v>478</v>
      </c>
      <c r="N60" s="3" t="s">
        <v>622</v>
      </c>
      <c r="R60" s="3" t="s">
        <v>478</v>
      </c>
      <c r="S60" s="3" t="s">
        <v>623</v>
      </c>
      <c r="T60" s="3" t="s">
        <v>624</v>
      </c>
      <c r="U60" s="3" t="s">
        <v>625</v>
      </c>
      <c r="V60" s="3" t="s">
        <v>626</v>
      </c>
      <c r="AA60" s="3" t="s">
        <v>627</v>
      </c>
      <c r="AB60" s="3"/>
      <c r="AC60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4:6</v>
      </c>
      <c r="AD60" s="67" t="str" cm="1">
        <f t="array" ref="AD6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60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61" spans="1:31" ht="72" customHeight="1" thickTop="1" thickBot="1" x14ac:dyDescent="0.45">
      <c r="A61" s="23">
        <v>45833</v>
      </c>
      <c r="B61" s="3" t="s">
        <v>355</v>
      </c>
      <c r="C61" s="3" t="s">
        <v>35</v>
      </c>
      <c r="D61" s="3" t="s">
        <v>408</v>
      </c>
      <c r="E61" s="50" t="s">
        <v>249</v>
      </c>
      <c r="K61" s="3" t="s">
        <v>487</v>
      </c>
      <c r="L61" s="3" t="s">
        <v>628</v>
      </c>
      <c r="M61" s="3" t="s">
        <v>629</v>
      </c>
      <c r="N61" s="3" t="s">
        <v>630</v>
      </c>
      <c r="O61" s="3" t="s">
        <v>631</v>
      </c>
      <c r="P61" s="3" t="s">
        <v>632</v>
      </c>
      <c r="AB61" s="3"/>
      <c r="AC61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61" s="67" t="str" cm="1">
        <f t="array" ref="AD6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1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2" spans="1:31" ht="72" customHeight="1" thickTop="1" thickBot="1" x14ac:dyDescent="0.45">
      <c r="A62" s="23">
        <v>45836</v>
      </c>
      <c r="B62" s="3" t="s">
        <v>355</v>
      </c>
      <c r="C62" s="3" t="s">
        <v>32</v>
      </c>
      <c r="D62" s="3" t="s">
        <v>225</v>
      </c>
      <c r="E62" s="50" t="s">
        <v>249</v>
      </c>
      <c r="J62" s="5">
        <v>5000</v>
      </c>
      <c r="K62" s="3" t="s">
        <v>633</v>
      </c>
      <c r="L62" s="3" t="s">
        <v>634</v>
      </c>
      <c r="M62" s="3" t="s">
        <v>624</v>
      </c>
      <c r="N62" s="3" t="s">
        <v>635</v>
      </c>
      <c r="O62" s="3" t="s">
        <v>636</v>
      </c>
      <c r="P62" s="3" t="s">
        <v>637</v>
      </c>
      <c r="AB62" s="3"/>
      <c r="AC62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62" s="67" t="str" cm="1">
        <f t="array" ref="AD6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2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3" spans="1:31" ht="72" customHeight="1" thickTop="1" thickBot="1" x14ac:dyDescent="0.45">
      <c r="A63" s="23">
        <v>45843</v>
      </c>
      <c r="B63" s="3" t="s">
        <v>355</v>
      </c>
      <c r="C63" s="3" t="s">
        <v>1100</v>
      </c>
      <c r="D63" s="3" t="s">
        <v>281</v>
      </c>
      <c r="E63" s="50" t="s">
        <v>638</v>
      </c>
      <c r="H63" s="5">
        <v>100</v>
      </c>
      <c r="K63" s="3" t="s">
        <v>639</v>
      </c>
      <c r="L63" s="3" t="s">
        <v>464</v>
      </c>
      <c r="M63" s="3" t="s">
        <v>640</v>
      </c>
      <c r="N63" s="3" t="s">
        <v>289</v>
      </c>
      <c r="O63" s="3" t="s">
        <v>641</v>
      </c>
      <c r="P63" s="3" t="s">
        <v>642</v>
      </c>
      <c r="Q63" s="3" t="s">
        <v>615</v>
      </c>
      <c r="R63" s="3" t="s">
        <v>643</v>
      </c>
      <c r="S63" s="3" t="s">
        <v>644</v>
      </c>
      <c r="T63" s="3" t="s">
        <v>645</v>
      </c>
      <c r="U63" s="3" t="s">
        <v>587</v>
      </c>
      <c r="AB63" s="3"/>
      <c r="AC63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63" s="67" t="str" cm="1">
        <f t="array" ref="AD6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3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4" spans="1:31" ht="72" customHeight="1" thickTop="1" thickBot="1" x14ac:dyDescent="0.45">
      <c r="A64" s="23">
        <v>45848</v>
      </c>
      <c r="B64" s="3" t="s">
        <v>355</v>
      </c>
      <c r="C64" s="3" t="s">
        <v>8</v>
      </c>
      <c r="D64" s="3" t="s">
        <v>408</v>
      </c>
      <c r="E64" s="50" t="s">
        <v>273</v>
      </c>
      <c r="K64" s="3" t="s">
        <v>646</v>
      </c>
      <c r="L64" s="3" t="s">
        <v>647</v>
      </c>
      <c r="M64" s="3" t="s">
        <v>648</v>
      </c>
      <c r="N64" s="3" t="s">
        <v>649</v>
      </c>
      <c r="O64" s="3" t="s">
        <v>650</v>
      </c>
      <c r="P64" s="3" t="s">
        <v>651</v>
      </c>
      <c r="Q64" s="3" t="s">
        <v>652</v>
      </c>
      <c r="AB64" s="3"/>
      <c r="AC64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64" s="67" t="str" cm="1">
        <f t="array" ref="AD6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4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5" spans="1:31" ht="72" customHeight="1" thickTop="1" thickBot="1" x14ac:dyDescent="0.45">
      <c r="A65" s="23">
        <v>45851</v>
      </c>
      <c r="B65" s="3" t="s">
        <v>355</v>
      </c>
      <c r="C65" s="3" t="s">
        <v>3</v>
      </c>
      <c r="D65" s="3" t="s">
        <v>408</v>
      </c>
      <c r="E65" s="50" t="s">
        <v>273</v>
      </c>
      <c r="K65" s="3" t="s">
        <v>653</v>
      </c>
      <c r="L65" s="3" t="s">
        <v>654</v>
      </c>
      <c r="M65" s="3" t="s">
        <v>655</v>
      </c>
      <c r="N65" s="3" t="s">
        <v>656</v>
      </c>
      <c r="O65" s="3" t="s">
        <v>518</v>
      </c>
      <c r="P65" s="3" t="s">
        <v>657</v>
      </c>
      <c r="Q65" s="3" t="s">
        <v>658</v>
      </c>
      <c r="R65" s="3" t="s">
        <v>659</v>
      </c>
      <c r="AB65" s="3"/>
      <c r="AC65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65" s="67" t="str" cm="1">
        <f t="array" ref="AD6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65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66" spans="1:31" ht="72" customHeight="1" thickTop="1" thickBot="1" x14ac:dyDescent="0.45">
      <c r="A66" s="23">
        <v>45878</v>
      </c>
      <c r="B66" s="3" t="s">
        <v>660</v>
      </c>
      <c r="C66" s="3" t="s">
        <v>12</v>
      </c>
      <c r="D66" s="3" t="s">
        <v>281</v>
      </c>
      <c r="E66" s="50" t="s">
        <v>273</v>
      </c>
      <c r="F66" s="5">
        <v>300000</v>
      </c>
      <c r="K66" s="3" t="s">
        <v>661</v>
      </c>
      <c r="L66" s="3" t="s">
        <v>662</v>
      </c>
      <c r="M66" s="3" t="s">
        <v>663</v>
      </c>
      <c r="N66" s="3" t="s">
        <v>664</v>
      </c>
      <c r="O66" s="3" t="s">
        <v>665</v>
      </c>
      <c r="P66" s="3" t="s">
        <v>666</v>
      </c>
      <c r="Q66" s="3" t="s">
        <v>667</v>
      </c>
      <c r="R66" s="3" t="s">
        <v>668</v>
      </c>
      <c r="AB66" s="3"/>
      <c r="AC66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66" s="67" t="str" cm="1">
        <f t="array" ref="AD6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66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67" spans="1:31" ht="72" customHeight="1" thickTop="1" thickBot="1" x14ac:dyDescent="0.45">
      <c r="A67" s="23">
        <v>45888</v>
      </c>
      <c r="B67" s="3" t="s">
        <v>660</v>
      </c>
      <c r="C67" s="3" t="s">
        <v>1101</v>
      </c>
      <c r="D67" s="3" t="s">
        <v>281</v>
      </c>
      <c r="E67" s="50" t="s">
        <v>273</v>
      </c>
      <c r="G67" s="5">
        <v>400000</v>
      </c>
      <c r="H67" s="5">
        <v>100</v>
      </c>
      <c r="K67" s="3" t="s">
        <v>669</v>
      </c>
      <c r="L67" s="3" t="s">
        <v>670</v>
      </c>
      <c r="M67" s="3" t="s">
        <v>671</v>
      </c>
      <c r="N67" s="3" t="s">
        <v>672</v>
      </c>
      <c r="O67" s="3" t="s">
        <v>673</v>
      </c>
      <c r="P67" s="3" t="s">
        <v>674</v>
      </c>
      <c r="Q67" s="3" t="s">
        <v>675</v>
      </c>
      <c r="R67" s="3" t="s">
        <v>676</v>
      </c>
      <c r="S67" s="3" t="s">
        <v>677</v>
      </c>
      <c r="AB67" s="3"/>
      <c r="AC67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9:9</v>
      </c>
      <c r="AD67" s="67" t="str" cm="1">
        <f t="array" ref="AD6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67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68" spans="1:31" ht="72" customHeight="1" thickTop="1" thickBot="1" x14ac:dyDescent="0.45">
      <c r="A68" s="23">
        <v>45890</v>
      </c>
      <c r="B68" s="3" t="s">
        <v>660</v>
      </c>
      <c r="C68" s="3" t="s">
        <v>1100</v>
      </c>
      <c r="D68" s="3" t="s">
        <v>281</v>
      </c>
      <c r="E68" s="50" t="s">
        <v>273</v>
      </c>
      <c r="F68" s="5">
        <v>150000</v>
      </c>
      <c r="H68" s="5">
        <v>100</v>
      </c>
      <c r="K68" s="3" t="s">
        <v>678</v>
      </c>
      <c r="L68" s="3" t="s">
        <v>679</v>
      </c>
      <c r="M68" s="3" t="s">
        <v>680</v>
      </c>
      <c r="N68" s="3" t="s">
        <v>681</v>
      </c>
      <c r="O68" s="3" t="s">
        <v>682</v>
      </c>
      <c r="P68" s="3" t="s">
        <v>683</v>
      </c>
      <c r="Q68" s="3" t="s">
        <v>684</v>
      </c>
      <c r="R68" s="3" t="s">
        <v>685</v>
      </c>
      <c r="S68" s="3" t="s">
        <v>686</v>
      </c>
      <c r="AB68" s="3"/>
      <c r="AC68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68" s="67" t="str" cm="1">
        <f t="array" ref="AD6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8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9" spans="1:31" ht="72" customHeight="1" thickTop="1" thickBot="1" x14ac:dyDescent="0.45">
      <c r="A69" s="23">
        <v>45892</v>
      </c>
      <c r="B69" s="3" t="s">
        <v>660</v>
      </c>
      <c r="C69" s="3" t="s">
        <v>1100</v>
      </c>
      <c r="D69" s="3" t="s">
        <v>281</v>
      </c>
      <c r="E69" s="50" t="s">
        <v>390</v>
      </c>
      <c r="G69" s="5">
        <v>50000</v>
      </c>
      <c r="K69" s="3" t="s">
        <v>687</v>
      </c>
      <c r="L69" s="3" t="s">
        <v>688</v>
      </c>
      <c r="M69" s="3" t="s">
        <v>689</v>
      </c>
      <c r="N69" s="3" t="s">
        <v>690</v>
      </c>
      <c r="AB69" s="3"/>
      <c r="AC69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4:0</v>
      </c>
      <c r="AD69" s="67" t="str" cm="1">
        <f t="array" ref="AD6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9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0" spans="1:31" ht="72" customHeight="1" thickTop="1" thickBot="1" x14ac:dyDescent="0.45">
      <c r="A70" s="23">
        <v>45900</v>
      </c>
      <c r="B70" s="3" t="s">
        <v>660</v>
      </c>
      <c r="C70" s="3" t="s">
        <v>1100</v>
      </c>
      <c r="D70" s="3" t="s">
        <v>281</v>
      </c>
      <c r="E70" s="50" t="s">
        <v>234</v>
      </c>
      <c r="K70" s="3" t="s">
        <v>691</v>
      </c>
      <c r="L70" s="3" t="s">
        <v>692</v>
      </c>
      <c r="M70" s="3" t="s">
        <v>693</v>
      </c>
      <c r="N70" s="3" t="s">
        <v>694</v>
      </c>
      <c r="O70" s="3" t="s">
        <v>695</v>
      </c>
      <c r="AB70" s="3" t="s">
        <v>696</v>
      </c>
      <c r="AC70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3:2</v>
      </c>
      <c r="AD70" s="67" t="str" cm="1">
        <f t="array" ref="AD7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70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1" spans="1:31" ht="72" customHeight="1" thickTop="1" thickBot="1" x14ac:dyDescent="0.45">
      <c r="A71" s="23">
        <v>45906</v>
      </c>
      <c r="B71" s="3" t="s">
        <v>660</v>
      </c>
      <c r="C71" s="3" t="s">
        <v>1100</v>
      </c>
      <c r="D71" s="3" t="s">
        <v>281</v>
      </c>
      <c r="E71" s="50" t="s">
        <v>390</v>
      </c>
      <c r="F71" s="5">
        <v>105000</v>
      </c>
      <c r="K71" s="3" t="s">
        <v>697</v>
      </c>
      <c r="L71" s="3" t="s">
        <v>698</v>
      </c>
      <c r="M71" s="3" t="s">
        <v>699</v>
      </c>
      <c r="N71" s="3" t="s">
        <v>700</v>
      </c>
      <c r="O71" s="3" t="s">
        <v>701</v>
      </c>
      <c r="AB71" s="3"/>
      <c r="AC71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71" s="67" t="str" cm="1">
        <f t="array" ref="AD7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1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2" spans="1:31" ht="72" customHeight="1" thickTop="1" thickBot="1" x14ac:dyDescent="0.45">
      <c r="A72" s="23">
        <v>45912</v>
      </c>
      <c r="B72" s="3" t="s">
        <v>660</v>
      </c>
      <c r="C72" s="3" t="s">
        <v>9</v>
      </c>
      <c r="D72" s="3" t="s">
        <v>281</v>
      </c>
      <c r="E72" s="50" t="s">
        <v>702</v>
      </c>
      <c r="F72" s="5">
        <v>230000</v>
      </c>
      <c r="H72" s="5">
        <v>200</v>
      </c>
      <c r="K72" s="3" t="s">
        <v>703</v>
      </c>
      <c r="L72" s="3" t="s">
        <v>704</v>
      </c>
      <c r="M72" s="3" t="s">
        <v>705</v>
      </c>
      <c r="N72" s="3" t="s">
        <v>706</v>
      </c>
      <c r="O72" s="3" t="s">
        <v>707</v>
      </c>
      <c r="P72" s="3" t="s">
        <v>708</v>
      </c>
      <c r="Q72" s="3" t="s">
        <v>709</v>
      </c>
      <c r="AB72" s="3"/>
      <c r="AC72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72" s="67" t="str" cm="1">
        <f t="array" ref="AD7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2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3" spans="1:31" ht="72" customHeight="1" thickTop="1" thickBot="1" x14ac:dyDescent="0.45">
      <c r="A73" s="23">
        <v>45915</v>
      </c>
      <c r="B73" s="3" t="s">
        <v>660</v>
      </c>
      <c r="C73" s="3" t="s">
        <v>34</v>
      </c>
      <c r="D73" s="3" t="s">
        <v>225</v>
      </c>
      <c r="E73" s="50" t="s">
        <v>390</v>
      </c>
      <c r="I73" s="5">
        <v>50</v>
      </c>
      <c r="K73" s="3" t="s">
        <v>710</v>
      </c>
      <c r="L73" s="3" t="s">
        <v>711</v>
      </c>
      <c r="M73" s="3" t="s">
        <v>712</v>
      </c>
      <c r="N73" s="3" t="s">
        <v>713</v>
      </c>
      <c r="O73" s="3" t="s">
        <v>714</v>
      </c>
      <c r="AB73" s="3"/>
      <c r="AC73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73" s="67" t="str" cm="1">
        <f t="array" ref="AD7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3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4" spans="1:31" ht="72" customHeight="1" thickTop="1" thickBot="1" x14ac:dyDescent="0.45">
      <c r="A74" s="23">
        <v>45916</v>
      </c>
      <c r="B74" s="3" t="s">
        <v>660</v>
      </c>
      <c r="C74" s="3" t="s">
        <v>3</v>
      </c>
      <c r="D74" s="3" t="s">
        <v>225</v>
      </c>
      <c r="E74" s="50" t="s">
        <v>234</v>
      </c>
      <c r="J74" s="5">
        <v>5000</v>
      </c>
      <c r="K74" s="3" t="s">
        <v>392</v>
      </c>
      <c r="L74" s="3" t="s">
        <v>715</v>
      </c>
      <c r="M74" s="3" t="s">
        <v>716</v>
      </c>
      <c r="N74" s="3" t="s">
        <v>717</v>
      </c>
      <c r="AB74" s="3" t="s">
        <v>718</v>
      </c>
      <c r="AC74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3:1</v>
      </c>
      <c r="AD74" s="67" t="str" cm="1">
        <f t="array" ref="AD7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74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5" spans="1:31" ht="72" customHeight="1" thickTop="1" thickBot="1" x14ac:dyDescent="0.45">
      <c r="A75" s="23">
        <v>45918</v>
      </c>
      <c r="B75" s="3" t="s">
        <v>660</v>
      </c>
      <c r="C75" s="3" t="s">
        <v>27</v>
      </c>
      <c r="D75" s="3" t="s">
        <v>225</v>
      </c>
      <c r="E75" s="50" t="s">
        <v>226</v>
      </c>
      <c r="J75" s="5">
        <v>10000</v>
      </c>
      <c r="K75" s="3" t="s">
        <v>719</v>
      </c>
      <c r="L75" s="3" t="s">
        <v>720</v>
      </c>
      <c r="M75" s="3" t="s">
        <v>721</v>
      </c>
      <c r="N75" s="3" t="s">
        <v>722</v>
      </c>
      <c r="R75" s="3" t="s">
        <v>722</v>
      </c>
      <c r="S75" s="3" t="s">
        <v>498</v>
      </c>
      <c r="T75" s="3" t="s">
        <v>723</v>
      </c>
      <c r="U75" s="3" t="s">
        <v>719</v>
      </c>
      <c r="AA75" s="3" t="s">
        <v>723</v>
      </c>
      <c r="AB75" s="3"/>
      <c r="AC75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75" s="67" t="str" cm="1">
        <f t="array" ref="AD7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75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6" spans="1:31" ht="72" customHeight="1" thickTop="1" thickBot="1" x14ac:dyDescent="0.45">
      <c r="A76" s="23">
        <v>45919</v>
      </c>
      <c r="B76" s="3" t="s">
        <v>660</v>
      </c>
      <c r="C76" s="3" t="s">
        <v>12</v>
      </c>
      <c r="D76" s="3" t="s">
        <v>225</v>
      </c>
      <c r="E76" s="50" t="s">
        <v>226</v>
      </c>
      <c r="I76" s="5" t="s">
        <v>240</v>
      </c>
      <c r="K76" s="3" t="s">
        <v>724</v>
      </c>
      <c r="L76" s="3" t="s">
        <v>725</v>
      </c>
      <c r="M76" s="3" t="s">
        <v>726</v>
      </c>
      <c r="R76" s="3" t="s">
        <v>727</v>
      </c>
      <c r="S76" s="3" t="s">
        <v>726</v>
      </c>
      <c r="T76" s="3" t="s">
        <v>728</v>
      </c>
      <c r="U76" s="3" t="s">
        <v>729</v>
      </c>
      <c r="AA76" s="3" t="s">
        <v>729</v>
      </c>
      <c r="AB76" s="3"/>
      <c r="AC76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76" s="67" t="str" cm="1">
        <f t="array" ref="AD7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76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7" spans="1:31" ht="72" customHeight="1" thickTop="1" thickBot="1" x14ac:dyDescent="0.45">
      <c r="A77" s="23">
        <v>45921</v>
      </c>
      <c r="B77" s="3" t="s">
        <v>660</v>
      </c>
      <c r="C77" s="3" t="s">
        <v>15</v>
      </c>
      <c r="D77" s="3" t="s">
        <v>225</v>
      </c>
      <c r="E77" s="50" t="s">
        <v>226</v>
      </c>
      <c r="I77" s="5">
        <v>50</v>
      </c>
      <c r="K77" s="3" t="s">
        <v>730</v>
      </c>
      <c r="L77" s="3" t="s">
        <v>731</v>
      </c>
      <c r="M77" s="3" t="s">
        <v>732</v>
      </c>
      <c r="N77" s="3" t="s">
        <v>733</v>
      </c>
      <c r="O77" s="3" t="s">
        <v>734</v>
      </c>
      <c r="R77" s="3" t="s">
        <v>735</v>
      </c>
      <c r="S77" s="3" t="s">
        <v>736</v>
      </c>
      <c r="T77" s="3" t="s">
        <v>737</v>
      </c>
      <c r="U77" s="3" t="s">
        <v>738</v>
      </c>
      <c r="V77" s="3" t="s">
        <v>739</v>
      </c>
      <c r="AB77" s="3"/>
      <c r="AC77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4:6</v>
      </c>
      <c r="AD77" s="67" t="str" cm="1">
        <f t="array" ref="AD7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77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8" spans="1:31" ht="72" customHeight="1" thickTop="1" thickBot="1" x14ac:dyDescent="0.45">
      <c r="A78" s="23">
        <v>45923</v>
      </c>
      <c r="B78" s="3" t="s">
        <v>660</v>
      </c>
      <c r="C78" s="3" t="s">
        <v>35</v>
      </c>
      <c r="D78" s="3" t="s">
        <v>225</v>
      </c>
      <c r="E78" s="50" t="s">
        <v>226</v>
      </c>
      <c r="J78" s="5">
        <v>10000</v>
      </c>
      <c r="K78" s="3" t="s">
        <v>557</v>
      </c>
      <c r="L78" s="3" t="s">
        <v>740</v>
      </c>
      <c r="M78" s="3" t="s">
        <v>629</v>
      </c>
      <c r="R78" s="3" t="s">
        <v>741</v>
      </c>
      <c r="S78" s="3" t="s">
        <v>742</v>
      </c>
      <c r="T78" s="3" t="s">
        <v>743</v>
      </c>
      <c r="U78" s="3" t="s">
        <v>744</v>
      </c>
      <c r="V78" s="3" t="s">
        <v>744</v>
      </c>
      <c r="AA78" s="3" t="s">
        <v>745</v>
      </c>
      <c r="AB78" s="3"/>
      <c r="AC78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78" s="67" t="str" cm="1">
        <f t="array" ref="AD7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78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9" spans="1:31" ht="72" customHeight="1" thickTop="1" thickBot="1" x14ac:dyDescent="0.45">
      <c r="A79" s="23">
        <v>45926</v>
      </c>
      <c r="B79" s="3" t="s">
        <v>660</v>
      </c>
      <c r="C79" s="3" t="s">
        <v>1100</v>
      </c>
      <c r="D79" s="3" t="s">
        <v>281</v>
      </c>
      <c r="E79" s="50" t="s">
        <v>390</v>
      </c>
      <c r="H79" s="5">
        <v>100</v>
      </c>
      <c r="K79" s="3" t="s">
        <v>746</v>
      </c>
      <c r="L79" s="3" t="s">
        <v>747</v>
      </c>
      <c r="M79" s="3" t="s">
        <v>748</v>
      </c>
      <c r="N79" s="3" t="s">
        <v>749</v>
      </c>
      <c r="O79" s="3" t="s">
        <v>750</v>
      </c>
      <c r="AB79" s="3"/>
      <c r="AC79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79" s="67" t="str" cm="1">
        <f t="array" ref="AD7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9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0" spans="1:31" ht="72" customHeight="1" thickTop="1" thickBot="1" x14ac:dyDescent="0.45">
      <c r="A80" s="23">
        <v>45926</v>
      </c>
      <c r="B80" s="3" t="s">
        <v>660</v>
      </c>
      <c r="C80" s="3" t="s">
        <v>1100</v>
      </c>
      <c r="D80" s="3" t="s">
        <v>281</v>
      </c>
      <c r="E80" s="50" t="s">
        <v>390</v>
      </c>
      <c r="G80" s="5">
        <v>120000</v>
      </c>
      <c r="K80" s="3" t="s">
        <v>751</v>
      </c>
      <c r="L80" s="3" t="s">
        <v>752</v>
      </c>
      <c r="M80" s="3" t="s">
        <v>746</v>
      </c>
      <c r="N80" s="3" t="s">
        <v>753</v>
      </c>
      <c r="O80" s="3" t="s">
        <v>754</v>
      </c>
      <c r="P80" s="3" t="s">
        <v>755</v>
      </c>
      <c r="AB80" s="3"/>
      <c r="AC80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80" s="67" t="str" cm="1">
        <f t="array" ref="AD8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0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1" spans="1:31" ht="72" customHeight="1" thickTop="1" thickBot="1" x14ac:dyDescent="0.45">
      <c r="A81" s="23">
        <v>45927</v>
      </c>
      <c r="B81" s="3" t="s">
        <v>660</v>
      </c>
      <c r="C81" s="3" t="s">
        <v>19</v>
      </c>
      <c r="D81" s="3" t="s">
        <v>225</v>
      </c>
      <c r="E81" s="50" t="s">
        <v>226</v>
      </c>
      <c r="J81" s="5">
        <v>10000</v>
      </c>
      <c r="K81" s="3" t="s">
        <v>756</v>
      </c>
      <c r="L81" s="3" t="s">
        <v>757</v>
      </c>
      <c r="M81" s="3" t="s">
        <v>758</v>
      </c>
      <c r="N81" s="3" t="s">
        <v>759</v>
      </c>
      <c r="R81" s="3" t="s">
        <v>760</v>
      </c>
      <c r="S81" s="3" t="s">
        <v>761</v>
      </c>
      <c r="T81" s="3" t="s">
        <v>762</v>
      </c>
      <c r="U81" s="3" t="s">
        <v>763</v>
      </c>
      <c r="AB81" s="3"/>
      <c r="AC81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81" s="67" t="str" cm="1">
        <f t="array" ref="AD8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81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2" spans="1:31" ht="72" customHeight="1" thickTop="1" thickBot="1" x14ac:dyDescent="0.45">
      <c r="A82" s="23">
        <v>45927</v>
      </c>
      <c r="B82" s="3" t="s">
        <v>660</v>
      </c>
      <c r="C82" s="3" t="s">
        <v>15</v>
      </c>
      <c r="D82" s="3" t="s">
        <v>225</v>
      </c>
      <c r="E82" s="50" t="s">
        <v>273</v>
      </c>
      <c r="J82" s="5">
        <v>10000</v>
      </c>
      <c r="K82" s="3" t="s">
        <v>764</v>
      </c>
      <c r="L82" s="3" t="s">
        <v>765</v>
      </c>
      <c r="M82" s="3" t="s">
        <v>766</v>
      </c>
      <c r="N82" s="3" t="s">
        <v>767</v>
      </c>
      <c r="O82" s="3" t="s">
        <v>768</v>
      </c>
      <c r="P82" s="3" t="s">
        <v>769</v>
      </c>
      <c r="Q82" s="3" t="s">
        <v>770</v>
      </c>
      <c r="R82" s="3" t="s">
        <v>771</v>
      </c>
      <c r="AB82" s="3"/>
      <c r="AC82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82" s="67" t="str" cm="1">
        <f t="array" ref="AD8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2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3" spans="1:31" ht="72" customHeight="1" thickTop="1" thickBot="1" x14ac:dyDescent="0.45">
      <c r="A83" s="23">
        <v>45929</v>
      </c>
      <c r="B83" s="3" t="s">
        <v>660</v>
      </c>
      <c r="C83" s="3" t="s">
        <v>9</v>
      </c>
      <c r="D83" s="3" t="s">
        <v>225</v>
      </c>
      <c r="E83" s="50" t="s">
        <v>273</v>
      </c>
      <c r="J83" s="5">
        <v>10000</v>
      </c>
      <c r="K83" s="3" t="s">
        <v>772</v>
      </c>
      <c r="L83" s="3" t="s">
        <v>773</v>
      </c>
      <c r="M83" s="3" t="s">
        <v>774</v>
      </c>
      <c r="N83" s="3" t="s">
        <v>775</v>
      </c>
      <c r="O83" s="3" t="s">
        <v>776</v>
      </c>
      <c r="P83" s="3" t="s">
        <v>777</v>
      </c>
      <c r="Q83" s="3" t="s">
        <v>778</v>
      </c>
      <c r="AB83" s="3"/>
      <c r="AC83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83" s="67" t="str" cm="1">
        <f t="array" ref="AD8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3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4" spans="1:31" ht="72" customHeight="1" thickTop="1" thickBot="1" x14ac:dyDescent="0.45">
      <c r="A84" s="23">
        <v>45930</v>
      </c>
      <c r="B84" s="3" t="s">
        <v>660</v>
      </c>
      <c r="C84" s="3" t="s">
        <v>1101</v>
      </c>
      <c r="D84" s="3" t="s">
        <v>281</v>
      </c>
      <c r="E84" s="50" t="s">
        <v>273</v>
      </c>
      <c r="G84" s="5">
        <v>536000</v>
      </c>
      <c r="H84" s="5">
        <v>100</v>
      </c>
      <c r="K84" s="3" t="s">
        <v>779</v>
      </c>
      <c r="L84" s="3" t="s">
        <v>780</v>
      </c>
      <c r="M84" s="3" t="s">
        <v>781</v>
      </c>
      <c r="N84" s="3" t="s">
        <v>782</v>
      </c>
      <c r="O84" s="3" t="s">
        <v>783</v>
      </c>
      <c r="P84" s="3" t="s">
        <v>784</v>
      </c>
      <c r="Q84" s="3" t="s">
        <v>785</v>
      </c>
      <c r="R84" s="3" t="s">
        <v>786</v>
      </c>
      <c r="AB84" s="3"/>
      <c r="AC84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8:8</v>
      </c>
      <c r="AD84" s="67" t="str" cm="1">
        <f t="array" ref="AD8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84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85" spans="1:31" ht="72" customHeight="1" thickTop="1" thickBot="1" x14ac:dyDescent="0.45">
      <c r="A85" s="23">
        <v>45932</v>
      </c>
      <c r="B85" s="3" t="s">
        <v>660</v>
      </c>
      <c r="C85" s="3" t="s">
        <v>3</v>
      </c>
      <c r="D85" s="3" t="s">
        <v>0</v>
      </c>
      <c r="E85" s="50" t="s">
        <v>273</v>
      </c>
      <c r="F85" s="5">
        <v>210000</v>
      </c>
      <c r="K85" s="3" t="s">
        <v>787</v>
      </c>
      <c r="L85" s="3" t="s">
        <v>788</v>
      </c>
      <c r="M85" s="3" t="s">
        <v>789</v>
      </c>
      <c r="N85" s="3" t="s">
        <v>790</v>
      </c>
      <c r="O85" s="3" t="s">
        <v>516</v>
      </c>
      <c r="P85" s="3" t="s">
        <v>791</v>
      </c>
      <c r="Q85" s="3" t="s">
        <v>522</v>
      </c>
      <c r="R85" s="3" t="s">
        <v>792</v>
      </c>
      <c r="S85" s="3" t="s">
        <v>793</v>
      </c>
      <c r="AB85" s="3"/>
      <c r="AC85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85" s="67" t="str" cm="1">
        <f t="array" ref="AD8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85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6" spans="1:31" ht="72" customHeight="1" thickTop="1" thickBot="1" x14ac:dyDescent="0.45">
      <c r="A86" s="23">
        <v>45943</v>
      </c>
      <c r="B86" s="3" t="s">
        <v>660</v>
      </c>
      <c r="C86" s="3" t="s">
        <v>34</v>
      </c>
      <c r="D86" s="3" t="s">
        <v>225</v>
      </c>
      <c r="E86" s="50" t="s">
        <v>390</v>
      </c>
      <c r="J86" s="5">
        <v>10000</v>
      </c>
      <c r="K86" s="3" t="s">
        <v>794</v>
      </c>
      <c r="L86" s="3" t="s">
        <v>795</v>
      </c>
      <c r="M86" s="3" t="s">
        <v>796</v>
      </c>
      <c r="N86" s="3" t="s">
        <v>797</v>
      </c>
      <c r="O86" s="3" t="s">
        <v>798</v>
      </c>
      <c r="AB86" s="3"/>
      <c r="AC86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86" s="67" t="str" cm="1">
        <f t="array" ref="AD8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86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7" spans="1:31" ht="72" customHeight="1" thickTop="1" thickBot="1" x14ac:dyDescent="0.45">
      <c r="A87" s="23">
        <v>45944</v>
      </c>
      <c r="B87" s="3" t="s">
        <v>660</v>
      </c>
      <c r="C87" s="3" t="s">
        <v>15</v>
      </c>
      <c r="D87" s="3" t="s">
        <v>225</v>
      </c>
      <c r="E87" s="50" t="s">
        <v>226</v>
      </c>
      <c r="H87" s="5">
        <v>100</v>
      </c>
      <c r="J87" s="5">
        <v>7000</v>
      </c>
      <c r="K87" s="3" t="s">
        <v>799</v>
      </c>
      <c r="L87" s="3" t="s">
        <v>800</v>
      </c>
      <c r="M87" s="3" t="s">
        <v>801</v>
      </c>
      <c r="R87" s="3" t="s">
        <v>802</v>
      </c>
      <c r="S87" s="3" t="s">
        <v>765</v>
      </c>
      <c r="T87" s="3" t="s">
        <v>803</v>
      </c>
      <c r="U87" s="3" t="s">
        <v>804</v>
      </c>
      <c r="V87" s="3" t="s">
        <v>805</v>
      </c>
      <c r="AB87" s="3"/>
      <c r="AC87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87" s="67" t="str" cm="1">
        <f t="array" ref="AD8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87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8" spans="1:31" ht="72" customHeight="1" thickTop="1" thickBot="1" x14ac:dyDescent="0.45">
      <c r="A88" s="23">
        <v>45945</v>
      </c>
      <c r="B88" s="3" t="s">
        <v>660</v>
      </c>
      <c r="C88" s="3" t="s">
        <v>28</v>
      </c>
      <c r="D88" s="3" t="s">
        <v>225</v>
      </c>
      <c r="E88" s="50" t="s">
        <v>226</v>
      </c>
      <c r="H88" s="5">
        <v>100</v>
      </c>
      <c r="K88" s="3" t="s">
        <v>806</v>
      </c>
      <c r="L88" s="3" t="s">
        <v>807</v>
      </c>
      <c r="M88" s="3" t="s">
        <v>808</v>
      </c>
      <c r="R88" s="3" t="s">
        <v>809</v>
      </c>
      <c r="S88" s="3" t="s">
        <v>810</v>
      </c>
      <c r="T88" s="3" t="s">
        <v>811</v>
      </c>
      <c r="U88" s="3" t="s">
        <v>812</v>
      </c>
      <c r="V88" s="3" t="s">
        <v>813</v>
      </c>
      <c r="AB88" s="3"/>
      <c r="AC88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88" s="67" t="str" cm="1">
        <f t="array" ref="AD8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88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9" spans="1:31" ht="72" customHeight="1" thickTop="1" thickBot="1" x14ac:dyDescent="0.45">
      <c r="A89" s="23">
        <v>45946</v>
      </c>
      <c r="B89" s="3" t="s">
        <v>660</v>
      </c>
      <c r="C89" s="3" t="s">
        <v>3</v>
      </c>
      <c r="D89" s="3" t="s">
        <v>225</v>
      </c>
      <c r="E89" s="50" t="s">
        <v>390</v>
      </c>
      <c r="J89" s="5">
        <v>5000</v>
      </c>
      <c r="K89" s="3" t="s">
        <v>680</v>
      </c>
      <c r="L89" s="3" t="s">
        <v>814</v>
      </c>
      <c r="M89" s="3" t="s">
        <v>815</v>
      </c>
      <c r="N89" s="3" t="s">
        <v>816</v>
      </c>
      <c r="O89" s="3" t="s">
        <v>817</v>
      </c>
      <c r="P89" s="3" t="s">
        <v>818</v>
      </c>
      <c r="AB89" s="3"/>
      <c r="AC89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89" s="67" t="str" cm="1">
        <f t="array" ref="AD8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9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0" spans="1:31" ht="72" customHeight="1" thickTop="1" thickBot="1" x14ac:dyDescent="0.45">
      <c r="A90" s="23">
        <v>45947</v>
      </c>
      <c r="B90" s="3" t="s">
        <v>660</v>
      </c>
      <c r="C90" s="3" t="s">
        <v>32</v>
      </c>
      <c r="D90" s="3" t="s">
        <v>225</v>
      </c>
      <c r="E90" s="50" t="s">
        <v>226</v>
      </c>
      <c r="J90" s="5">
        <v>5000</v>
      </c>
      <c r="K90" s="3" t="s">
        <v>819</v>
      </c>
      <c r="L90" s="3" t="s">
        <v>820</v>
      </c>
      <c r="M90" s="3" t="s">
        <v>821</v>
      </c>
      <c r="N90" s="3" t="s">
        <v>822</v>
      </c>
      <c r="R90" s="3" t="s">
        <v>823</v>
      </c>
      <c r="S90" s="3" t="s">
        <v>824</v>
      </c>
      <c r="T90" s="3" t="s">
        <v>825</v>
      </c>
      <c r="U90" s="3" t="s">
        <v>826</v>
      </c>
      <c r="V90" s="3" t="s">
        <v>827</v>
      </c>
      <c r="AB90" s="3"/>
      <c r="AC90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90" s="67" t="str" cm="1">
        <f t="array" ref="AD9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90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1" spans="1:31" ht="72" customHeight="1" thickTop="1" thickBot="1" x14ac:dyDescent="0.45">
      <c r="A91" s="23">
        <v>45948</v>
      </c>
      <c r="B91" s="3" t="s">
        <v>660</v>
      </c>
      <c r="C91" s="3" t="s">
        <v>12</v>
      </c>
      <c r="D91" s="3" t="s">
        <v>225</v>
      </c>
      <c r="E91" s="50" t="s">
        <v>226</v>
      </c>
      <c r="J91" s="5">
        <v>10000</v>
      </c>
      <c r="K91" s="3" t="s">
        <v>828</v>
      </c>
      <c r="L91" s="3" t="s">
        <v>829</v>
      </c>
      <c r="M91" s="3" t="s">
        <v>830</v>
      </c>
      <c r="N91" s="3" t="s">
        <v>831</v>
      </c>
      <c r="R91" s="3" t="s">
        <v>832</v>
      </c>
      <c r="S91" s="3" t="s">
        <v>833</v>
      </c>
      <c r="T91" s="3" t="s">
        <v>834</v>
      </c>
      <c r="U91" s="3" t="s">
        <v>835</v>
      </c>
      <c r="V91" s="3" t="s">
        <v>836</v>
      </c>
      <c r="AB91" s="3"/>
      <c r="AC91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91" s="67" t="str" cm="1">
        <f t="array" ref="AD9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91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2" spans="1:31" ht="72" customHeight="1" thickTop="1" thickBot="1" x14ac:dyDescent="0.45">
      <c r="A92" s="23">
        <v>45950</v>
      </c>
      <c r="B92" s="3" t="s">
        <v>660</v>
      </c>
      <c r="C92" s="3" t="s">
        <v>32</v>
      </c>
      <c r="D92" s="3" t="s">
        <v>225</v>
      </c>
      <c r="E92" s="50" t="s">
        <v>226</v>
      </c>
      <c r="J92" s="5">
        <v>5000</v>
      </c>
      <c r="K92" s="3" t="s">
        <v>837</v>
      </c>
      <c r="L92" s="3" t="s">
        <v>838</v>
      </c>
      <c r="M92" s="3" t="s">
        <v>839</v>
      </c>
      <c r="N92" s="3" t="s">
        <v>840</v>
      </c>
      <c r="R92" s="3" t="s">
        <v>841</v>
      </c>
      <c r="S92" s="3" t="s">
        <v>842</v>
      </c>
      <c r="T92" s="3" t="s">
        <v>839</v>
      </c>
      <c r="U92" s="3" t="s">
        <v>843</v>
      </c>
      <c r="V92" s="3" t="s">
        <v>827</v>
      </c>
      <c r="AA92" s="3" t="s">
        <v>827</v>
      </c>
      <c r="AB92" s="3"/>
      <c r="AC92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92" s="67" t="str" cm="1">
        <f t="array" ref="AD9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92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3" spans="1:31" ht="72" customHeight="1" thickTop="1" thickBot="1" x14ac:dyDescent="0.45">
      <c r="A93" s="23">
        <v>45950</v>
      </c>
      <c r="B93" s="3" t="s">
        <v>660</v>
      </c>
      <c r="C93" s="3" t="s">
        <v>27</v>
      </c>
      <c r="D93" s="3" t="s">
        <v>225</v>
      </c>
      <c r="E93" s="50" t="s">
        <v>390</v>
      </c>
      <c r="J93" s="5">
        <v>5000</v>
      </c>
      <c r="K93" s="3" t="s">
        <v>844</v>
      </c>
      <c r="L93" s="3" t="s">
        <v>845</v>
      </c>
      <c r="M93" s="3" t="s">
        <v>846</v>
      </c>
      <c r="N93" s="3" t="s">
        <v>847</v>
      </c>
      <c r="AB93" s="3"/>
      <c r="AC93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4:0</v>
      </c>
      <c r="AD93" s="67" t="str" cm="1">
        <f t="array" ref="AD9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93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4" spans="1:31" ht="72" customHeight="1" thickTop="1" thickBot="1" x14ac:dyDescent="0.45">
      <c r="A94" s="23">
        <v>45951</v>
      </c>
      <c r="B94" s="3" t="s">
        <v>660</v>
      </c>
      <c r="C94" s="3" t="s">
        <v>35</v>
      </c>
      <c r="D94" s="3" t="s">
        <v>225</v>
      </c>
      <c r="E94" s="50" t="s">
        <v>226</v>
      </c>
      <c r="J94" s="5">
        <v>5000</v>
      </c>
      <c r="K94" s="3" t="s">
        <v>848</v>
      </c>
      <c r="L94" s="3" t="s">
        <v>849</v>
      </c>
      <c r="M94" s="3" t="s">
        <v>850</v>
      </c>
      <c r="R94" s="3" t="s">
        <v>851</v>
      </c>
      <c r="S94" s="3" t="s">
        <v>629</v>
      </c>
      <c r="T94" s="3" t="s">
        <v>852</v>
      </c>
      <c r="U94" s="3" t="s">
        <v>853</v>
      </c>
      <c r="V94" s="3" t="s">
        <v>854</v>
      </c>
      <c r="AA94" s="3" t="s">
        <v>855</v>
      </c>
      <c r="AB94" s="3"/>
      <c r="AC94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94" s="67" t="str" cm="1">
        <f t="array" ref="AD9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94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5" spans="1:31" ht="72" customHeight="1" thickTop="1" thickBot="1" x14ac:dyDescent="0.45">
      <c r="A95" s="23">
        <v>45952</v>
      </c>
      <c r="B95" s="3" t="s">
        <v>660</v>
      </c>
      <c r="C95" s="3" t="s">
        <v>8</v>
      </c>
      <c r="D95" s="3" t="s">
        <v>225</v>
      </c>
      <c r="E95" s="50" t="s">
        <v>226</v>
      </c>
      <c r="J95" s="5">
        <v>5000</v>
      </c>
      <c r="K95" s="3" t="s">
        <v>856</v>
      </c>
      <c r="L95" s="3" t="s">
        <v>857</v>
      </c>
      <c r="M95" s="3" t="s">
        <v>858</v>
      </c>
      <c r="R95" s="3" t="s">
        <v>859</v>
      </c>
      <c r="S95" s="3" t="s">
        <v>860</v>
      </c>
      <c r="T95" s="3" t="s">
        <v>861</v>
      </c>
      <c r="U95" s="3" t="s">
        <v>862</v>
      </c>
      <c r="V95" s="3" t="s">
        <v>856</v>
      </c>
      <c r="AB95" s="3"/>
      <c r="AC95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95" s="67" t="str" cm="1">
        <f t="array" ref="AD9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95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6" spans="1:31" ht="72" customHeight="1" thickTop="1" thickBot="1" x14ac:dyDescent="0.45">
      <c r="A96" s="23">
        <v>45956</v>
      </c>
      <c r="B96" s="3" t="s">
        <v>660</v>
      </c>
      <c r="C96" s="3" t="s">
        <v>19</v>
      </c>
      <c r="D96" s="3" t="s">
        <v>408</v>
      </c>
      <c r="E96" s="50" t="s">
        <v>702</v>
      </c>
      <c r="K96" s="3" t="s">
        <v>863</v>
      </c>
      <c r="L96" s="3" t="s">
        <v>864</v>
      </c>
      <c r="M96" s="3" t="s">
        <v>865</v>
      </c>
      <c r="N96" s="3" t="s">
        <v>866</v>
      </c>
      <c r="O96" s="3" t="s">
        <v>867</v>
      </c>
      <c r="P96" s="3" t="s">
        <v>868</v>
      </c>
      <c r="Q96" s="3" t="s">
        <v>869</v>
      </c>
      <c r="R96" s="3" t="s">
        <v>869</v>
      </c>
      <c r="AB96" s="3"/>
      <c r="AC96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96" s="67" t="str" cm="1">
        <f t="array" ref="AD9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96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7" spans="1:31" ht="72" customHeight="1" thickTop="1" thickBot="1" x14ac:dyDescent="0.45">
      <c r="A97" s="23">
        <v>45959</v>
      </c>
      <c r="B97" s="3" t="s">
        <v>660</v>
      </c>
      <c r="C97" s="3" t="s">
        <v>35</v>
      </c>
      <c r="D97" s="3" t="s">
        <v>408</v>
      </c>
      <c r="E97" s="50" t="s">
        <v>273</v>
      </c>
      <c r="K97" s="3" t="s">
        <v>870</v>
      </c>
      <c r="L97" s="3" t="s">
        <v>852</v>
      </c>
      <c r="M97" s="3" t="s">
        <v>871</v>
      </c>
      <c r="N97" s="3" t="s">
        <v>872</v>
      </c>
      <c r="O97" s="3" t="s">
        <v>873</v>
      </c>
      <c r="P97" s="3" t="s">
        <v>871</v>
      </c>
      <c r="Q97" s="3" t="s">
        <v>873</v>
      </c>
      <c r="AB97" s="3"/>
      <c r="AC97" s="49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97" s="67" t="str" cm="1">
        <f t="array" ref="AD9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97" s="49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8" spans="1:31" ht="72" customHeight="1" thickTop="1" thickBot="1" x14ac:dyDescent="0.45">
      <c r="A98" s="61">
        <v>46000</v>
      </c>
      <c r="B98" s="3" t="s">
        <v>1468</v>
      </c>
      <c r="C98" s="3" t="s">
        <v>1499</v>
      </c>
      <c r="D98" s="3" t="s">
        <v>1474</v>
      </c>
      <c r="E98" s="50" t="s">
        <v>226</v>
      </c>
      <c r="F98" s="5">
        <v>18000</v>
      </c>
      <c r="K98" s="3" t="s">
        <v>1554</v>
      </c>
      <c r="L98" s="3" t="s">
        <v>1555</v>
      </c>
      <c r="M98" s="3" t="s">
        <v>1556</v>
      </c>
      <c r="R98" s="3" t="s">
        <v>1557</v>
      </c>
      <c r="S98" s="3" t="s">
        <v>1558</v>
      </c>
      <c r="T98" s="3" t="s">
        <v>1559</v>
      </c>
      <c r="U98" s="3" t="s">
        <v>1560</v>
      </c>
      <c r="V98" s="3" t="s">
        <v>1561</v>
      </c>
      <c r="AB98" s="3"/>
      <c r="AC98" s="51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98" s="67" t="str" cm="1">
        <f t="array" ref="AD9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98" s="5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9" spans="1:31" ht="72" customHeight="1" thickTop="1" thickBot="1" x14ac:dyDescent="0.45">
      <c r="A99" s="61">
        <v>46043</v>
      </c>
      <c r="B99" s="3" t="s">
        <v>1468</v>
      </c>
      <c r="C99" s="3" t="s">
        <v>1499</v>
      </c>
      <c r="D99" s="3" t="s">
        <v>1474</v>
      </c>
      <c r="E99" s="50" t="s">
        <v>226</v>
      </c>
      <c r="H99" s="5">
        <v>100</v>
      </c>
      <c r="K99" s="3" t="s">
        <v>1500</v>
      </c>
      <c r="L99" s="3" t="s">
        <v>1501</v>
      </c>
      <c r="M99" s="3" t="s">
        <v>1502</v>
      </c>
      <c r="N99" s="3" t="s">
        <v>1503</v>
      </c>
      <c r="O99" s="3" t="s">
        <v>1504</v>
      </c>
      <c r="R99" s="3" t="s">
        <v>1505</v>
      </c>
      <c r="S99" s="3" t="s">
        <v>1506</v>
      </c>
      <c r="T99" s="3" t="s">
        <v>1507</v>
      </c>
      <c r="AA99" s="3" t="s">
        <v>1506</v>
      </c>
      <c r="AB99" s="3"/>
      <c r="AC99" s="51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99" s="67" t="str" cm="1">
        <f t="array" ref="AD9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99" s="5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0" spans="1:31" ht="72" customHeight="1" thickTop="1" thickBot="1" x14ac:dyDescent="0.45">
      <c r="A100" s="61">
        <v>46045</v>
      </c>
      <c r="B100" s="3" t="s">
        <v>1468</v>
      </c>
      <c r="C100" s="3" t="s">
        <v>1484</v>
      </c>
      <c r="D100" s="3" t="s">
        <v>1474</v>
      </c>
      <c r="E100" s="50" t="s">
        <v>1485</v>
      </c>
      <c r="G100" s="5">
        <v>530000</v>
      </c>
      <c r="K100" s="3" t="s">
        <v>1486</v>
      </c>
      <c r="L100" s="3" t="s">
        <v>1487</v>
      </c>
      <c r="M100" s="3" t="s">
        <v>1488</v>
      </c>
      <c r="N100" s="3" t="s">
        <v>1489</v>
      </c>
      <c r="O100" s="3" t="s">
        <v>1490</v>
      </c>
      <c r="P100" s="3" t="s">
        <v>1491</v>
      </c>
      <c r="Q100" s="3" t="s">
        <v>1492</v>
      </c>
      <c r="R100" s="3" t="s">
        <v>1493</v>
      </c>
      <c r="S100" s="3" t="s">
        <v>1494</v>
      </c>
      <c r="T100" s="3" t="s">
        <v>1495</v>
      </c>
      <c r="U100" s="3" t="s">
        <v>1496</v>
      </c>
      <c r="AB100" s="3"/>
      <c r="AC100" s="51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11:11</v>
      </c>
      <c r="AD100" s="67" t="str" cm="1">
        <f t="array" ref="AD10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00" s="5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01" spans="1:31" ht="72" customHeight="1" thickTop="1" thickBot="1" x14ac:dyDescent="0.45">
      <c r="A101" s="61">
        <v>46048</v>
      </c>
      <c r="B101" s="3" t="s">
        <v>1468</v>
      </c>
      <c r="C101" s="3" t="s">
        <v>1085</v>
      </c>
      <c r="D101" s="3" t="s">
        <v>1474</v>
      </c>
      <c r="E101" s="50" t="s">
        <v>702</v>
      </c>
      <c r="H101" s="5">
        <v>100</v>
      </c>
      <c r="J101" s="5">
        <v>9000</v>
      </c>
      <c r="K101" s="3" t="s">
        <v>1475</v>
      </c>
      <c r="L101" s="3" t="s">
        <v>1476</v>
      </c>
      <c r="M101" s="3" t="s">
        <v>1477</v>
      </c>
      <c r="N101" s="3" t="s">
        <v>1478</v>
      </c>
      <c r="O101" s="3" t="s">
        <v>1479</v>
      </c>
      <c r="P101" s="3" t="s">
        <v>1480</v>
      </c>
      <c r="Q101" s="3" t="s">
        <v>1481</v>
      </c>
      <c r="R101" s="3" t="s">
        <v>1482</v>
      </c>
      <c r="S101" s="3" t="s">
        <v>1483</v>
      </c>
      <c r="AB101" s="3"/>
      <c r="AC101" s="51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01" s="67" t="str" cm="1">
        <f t="array" ref="AD10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01" s="5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2" spans="1:31" ht="72" customHeight="1" thickTop="1" thickBot="1" x14ac:dyDescent="0.45">
      <c r="A102" s="35">
        <v>46052</v>
      </c>
      <c r="B102" s="6" t="s">
        <v>1468</v>
      </c>
      <c r="C102" s="6" t="s">
        <v>1103</v>
      </c>
      <c r="D102" s="6" t="s">
        <v>0</v>
      </c>
      <c r="E102" s="66" t="s">
        <v>702</v>
      </c>
      <c r="F102" s="59"/>
      <c r="G102" s="59">
        <v>65000</v>
      </c>
      <c r="H102" s="59"/>
      <c r="I102" s="59">
        <v>150</v>
      </c>
      <c r="J102" s="59"/>
      <c r="K102" s="6" t="s">
        <v>1469</v>
      </c>
      <c r="L102" s="6" t="s">
        <v>1470</v>
      </c>
      <c r="M102" s="6" t="s">
        <v>1471</v>
      </c>
      <c r="N102" s="6" t="s">
        <v>1472</v>
      </c>
      <c r="O102" s="6" t="s">
        <v>1473</v>
      </c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5:0</v>
      </c>
      <c r="AD102" s="67" t="str" cm="1">
        <f t="array" ref="AD10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02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3" spans="1:31" ht="72" customHeight="1" thickTop="1" thickBot="1" x14ac:dyDescent="0.45">
      <c r="A103" s="35">
        <v>46056</v>
      </c>
      <c r="B103" s="6" t="s">
        <v>1468</v>
      </c>
      <c r="C103" s="6" t="s">
        <v>139</v>
      </c>
      <c r="D103" s="6" t="s">
        <v>1474</v>
      </c>
      <c r="E103" s="66" t="s">
        <v>1512</v>
      </c>
      <c r="F103" s="59">
        <v>284000</v>
      </c>
      <c r="G103" s="59"/>
      <c r="H103" s="59"/>
      <c r="I103" s="59"/>
      <c r="J103" s="59"/>
      <c r="K103" s="6" t="s">
        <v>1516</v>
      </c>
      <c r="L103" s="6" t="s">
        <v>1517</v>
      </c>
      <c r="M103" s="6" t="s">
        <v>1518</v>
      </c>
      <c r="N103" s="6" t="s">
        <v>1519</v>
      </c>
      <c r="O103" s="6"/>
      <c r="P103" s="6"/>
      <c r="Q103" s="6"/>
      <c r="R103" s="6" t="s">
        <v>1522</v>
      </c>
      <c r="S103" s="6" t="s">
        <v>1520</v>
      </c>
      <c r="T103" s="6" t="s">
        <v>1521</v>
      </c>
      <c r="U103" s="6" t="s">
        <v>1523</v>
      </c>
      <c r="V103" s="6" t="s">
        <v>1524</v>
      </c>
      <c r="W103" s="6" t="s">
        <v>1526</v>
      </c>
      <c r="X103" s="6" t="s">
        <v>1525</v>
      </c>
      <c r="Y103" s="6"/>
      <c r="Z103" s="6"/>
      <c r="AA103" s="6"/>
      <c r="AB103" s="67"/>
      <c r="AC103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9:2</v>
      </c>
      <c r="AD103" s="67" t="str" cm="1">
        <f t="array" ref="AD10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03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4" spans="1:31" ht="72" customHeight="1" thickTop="1" thickBot="1" x14ac:dyDescent="0.45">
      <c r="A104" s="35" t="s">
        <v>1533</v>
      </c>
      <c r="B104" s="6" t="s">
        <v>1468</v>
      </c>
      <c r="C104" s="6" t="s">
        <v>1085</v>
      </c>
      <c r="D104" s="6" t="s">
        <v>1534</v>
      </c>
      <c r="E104" s="66" t="s">
        <v>226</v>
      </c>
      <c r="F104" s="59"/>
      <c r="G104" s="59"/>
      <c r="H104" s="59"/>
      <c r="I104" s="59"/>
      <c r="J104" s="59">
        <v>5000</v>
      </c>
      <c r="K104" s="6" t="s">
        <v>1535</v>
      </c>
      <c r="L104" s="6" t="s">
        <v>1536</v>
      </c>
      <c r="M104" s="6" t="s">
        <v>1537</v>
      </c>
      <c r="N104" s="6" t="s">
        <v>1538</v>
      </c>
      <c r="O104" s="6"/>
      <c r="P104" s="6"/>
      <c r="Q104" s="6"/>
      <c r="R104" s="6" t="s">
        <v>1539</v>
      </c>
      <c r="S104" s="6" t="s">
        <v>1540</v>
      </c>
      <c r="T104" s="6" t="s">
        <v>1541</v>
      </c>
      <c r="U104" s="6" t="s">
        <v>1542</v>
      </c>
      <c r="V104" s="6"/>
      <c r="W104" s="6"/>
      <c r="X104" s="6"/>
      <c r="Y104" s="6"/>
      <c r="Z104" s="6"/>
      <c r="AA104" s="6"/>
      <c r="AB104" s="67"/>
      <c r="AC104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104" s="67" t="str" cm="1">
        <f t="array" ref="AD10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04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5" spans="1:31" ht="72" customHeight="1" thickTop="1" thickBot="1" x14ac:dyDescent="0.45">
      <c r="A105" s="35">
        <v>46060</v>
      </c>
      <c r="B105" s="6" t="s">
        <v>1468</v>
      </c>
      <c r="C105" s="6" t="s">
        <v>146</v>
      </c>
      <c r="D105" s="6" t="s">
        <v>0</v>
      </c>
      <c r="E105" s="66" t="s">
        <v>702</v>
      </c>
      <c r="F105" s="59">
        <v>200000</v>
      </c>
      <c r="G105" s="59"/>
      <c r="H105" s="59"/>
      <c r="I105" s="59"/>
      <c r="J105" s="59"/>
      <c r="K105" s="6" t="s">
        <v>1544</v>
      </c>
      <c r="L105" s="6" t="s">
        <v>1545</v>
      </c>
      <c r="M105" s="6" t="s">
        <v>1546</v>
      </c>
      <c r="N105" s="6" t="s">
        <v>1547</v>
      </c>
      <c r="O105" s="6" t="s">
        <v>1548</v>
      </c>
      <c r="P105" s="6" t="s">
        <v>1549</v>
      </c>
      <c r="Q105" s="6" t="s">
        <v>1547</v>
      </c>
      <c r="R105" s="6" t="s">
        <v>1550</v>
      </c>
      <c r="S105" s="6"/>
      <c r="T105" s="6"/>
      <c r="U105" s="6"/>
      <c r="V105" s="6"/>
      <c r="W105" s="6"/>
      <c r="X105" s="6"/>
      <c r="Y105" s="6"/>
      <c r="Z105" s="6"/>
      <c r="AA105" s="6"/>
      <c r="AB105" s="67"/>
      <c r="AC105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05" s="67" t="str" cm="1">
        <f t="array" ref="AD10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05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6" spans="1:31" ht="72" customHeight="1" thickTop="1" thickBot="1" x14ac:dyDescent="0.45">
      <c r="A106" s="35">
        <v>46061</v>
      </c>
      <c r="B106" s="6" t="s">
        <v>1468</v>
      </c>
      <c r="C106" s="6" t="s">
        <v>1080</v>
      </c>
      <c r="D106" s="6" t="s">
        <v>1534</v>
      </c>
      <c r="E106" s="66" t="s">
        <v>249</v>
      </c>
      <c r="F106" s="59"/>
      <c r="G106" s="59"/>
      <c r="H106" s="59"/>
      <c r="I106" s="59"/>
      <c r="J106" s="59">
        <v>5000</v>
      </c>
      <c r="K106" s="6" t="s">
        <v>1562</v>
      </c>
      <c r="L106" s="6" t="s">
        <v>1563</v>
      </c>
      <c r="M106" s="6" t="s">
        <v>1564</v>
      </c>
      <c r="N106" s="6" t="s">
        <v>1565</v>
      </c>
      <c r="O106" s="6" t="s">
        <v>1566</v>
      </c>
      <c r="P106" s="6" t="s">
        <v>1567</v>
      </c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7"/>
      <c r="AC106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2:4</v>
      </c>
      <c r="AD106" s="67" t="str" cm="1">
        <f t="array" ref="AD10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06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7" spans="1:31" ht="72" customHeight="1" thickTop="1" thickBot="1" x14ac:dyDescent="0.45">
      <c r="A107" s="35">
        <v>46062</v>
      </c>
      <c r="B107" s="6" t="s">
        <v>1468</v>
      </c>
      <c r="C107" s="6" t="s">
        <v>148</v>
      </c>
      <c r="D107" s="6" t="s">
        <v>1534</v>
      </c>
      <c r="E107" s="66" t="s">
        <v>249</v>
      </c>
      <c r="F107" s="59"/>
      <c r="G107" s="59"/>
      <c r="H107" s="59"/>
      <c r="I107" s="59"/>
      <c r="J107" s="59"/>
      <c r="K107" s="6" t="s">
        <v>1561</v>
      </c>
      <c r="L107" s="6" t="s">
        <v>1568</v>
      </c>
      <c r="M107" s="6" t="s">
        <v>1569</v>
      </c>
      <c r="N107" s="6" t="s">
        <v>1570</v>
      </c>
      <c r="O107" s="6" t="s">
        <v>1571</v>
      </c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7"/>
      <c r="AC107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107" s="67" t="str" cm="1">
        <f t="array" ref="AD10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07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8" spans="1:31" ht="72" customHeight="1" thickTop="1" thickBot="1" x14ac:dyDescent="0.45">
      <c r="A108" s="35">
        <v>46063</v>
      </c>
      <c r="B108" s="6" t="s">
        <v>1468</v>
      </c>
      <c r="C108" s="6" t="s">
        <v>139</v>
      </c>
      <c r="D108" s="6" t="s">
        <v>1474</v>
      </c>
      <c r="E108" s="66" t="s">
        <v>249</v>
      </c>
      <c r="F108" s="59"/>
      <c r="G108" s="59"/>
      <c r="H108" s="59">
        <v>50</v>
      </c>
      <c r="I108" s="59"/>
      <c r="J108" s="59"/>
      <c r="K108" s="6" t="s">
        <v>1572</v>
      </c>
      <c r="L108" s="6" t="s">
        <v>1573</v>
      </c>
      <c r="M108" s="6" t="s">
        <v>1574</v>
      </c>
      <c r="N108" s="6" t="s">
        <v>1575</v>
      </c>
      <c r="O108" s="6" t="s">
        <v>1576</v>
      </c>
      <c r="P108" s="6" t="s">
        <v>1577</v>
      </c>
      <c r="Q108" s="6" t="s">
        <v>1578</v>
      </c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7"/>
      <c r="AC108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08" s="67" t="str" cm="1">
        <f t="array" ref="AD10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08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9" spans="1:31" ht="72" customHeight="1" thickTop="1" thickBot="1" x14ac:dyDescent="0.45">
      <c r="A109" s="35">
        <v>46063</v>
      </c>
      <c r="B109" s="6" t="s">
        <v>1468</v>
      </c>
      <c r="C109" s="6" t="s">
        <v>1086</v>
      </c>
      <c r="D109" s="6" t="s">
        <v>1534</v>
      </c>
      <c r="E109" s="66" t="s">
        <v>226</v>
      </c>
      <c r="F109" s="59"/>
      <c r="G109" s="59"/>
      <c r="H109" s="59"/>
      <c r="I109" s="59"/>
      <c r="J109" s="59">
        <v>10000</v>
      </c>
      <c r="K109" s="6" t="s">
        <v>1579</v>
      </c>
      <c r="L109" s="6" t="s">
        <v>1580</v>
      </c>
      <c r="M109" s="6" t="s">
        <v>1581</v>
      </c>
      <c r="N109" s="6"/>
      <c r="O109" s="6"/>
      <c r="P109" s="6"/>
      <c r="Q109" s="6"/>
      <c r="R109" s="6" t="s">
        <v>1582</v>
      </c>
      <c r="S109" s="6" t="s">
        <v>1583</v>
      </c>
      <c r="T109" s="6" t="s">
        <v>1584</v>
      </c>
      <c r="U109" s="6"/>
      <c r="V109" s="6"/>
      <c r="W109" s="6"/>
      <c r="X109" s="6"/>
      <c r="Y109" s="6"/>
      <c r="Z109" s="6"/>
      <c r="AA109" s="6"/>
      <c r="AB109" s="67"/>
      <c r="AC109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0:6</v>
      </c>
      <c r="AD109" s="67" t="str" cm="1">
        <f t="array" ref="AD10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09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0" spans="1:31" ht="72" customHeight="1" thickTop="1" thickBot="1" x14ac:dyDescent="0.45">
      <c r="A110" s="35">
        <v>46067</v>
      </c>
      <c r="B110" s="6" t="s">
        <v>1468</v>
      </c>
      <c r="C110" s="6" t="s">
        <v>139</v>
      </c>
      <c r="D110" s="6" t="s">
        <v>1474</v>
      </c>
      <c r="E110" s="66" t="s">
        <v>249</v>
      </c>
      <c r="F110" s="59"/>
      <c r="G110" s="59">
        <v>25000</v>
      </c>
      <c r="H110" s="59">
        <v>50</v>
      </c>
      <c r="I110" s="59"/>
      <c r="J110" s="59"/>
      <c r="K110" s="6" t="s">
        <v>1591</v>
      </c>
      <c r="L110" s="6" t="s">
        <v>1596</v>
      </c>
      <c r="M110" s="6" t="s">
        <v>1592</v>
      </c>
      <c r="N110" s="6" t="s">
        <v>1595</v>
      </c>
      <c r="O110" s="6" t="s">
        <v>1593</v>
      </c>
      <c r="P110" s="6" t="s">
        <v>1597</v>
      </c>
      <c r="Q110" s="6" t="s">
        <v>1594</v>
      </c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7"/>
      <c r="AC110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10" s="67" t="str" cm="1">
        <f t="array" ref="AD11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10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1" spans="1:31" ht="72" customHeight="1" thickTop="1" thickBot="1" x14ac:dyDescent="0.45">
      <c r="A111" s="35">
        <v>45703</v>
      </c>
      <c r="B111" s="6" t="s">
        <v>1468</v>
      </c>
      <c r="C111" s="6" t="s">
        <v>1103</v>
      </c>
      <c r="D111" s="6" t="s">
        <v>1474</v>
      </c>
      <c r="E111" s="66" t="s">
        <v>249</v>
      </c>
      <c r="F111" s="59"/>
      <c r="G111" s="59"/>
      <c r="H111" s="59"/>
      <c r="I111" s="59"/>
      <c r="J111" s="59"/>
      <c r="K111" s="6" t="s">
        <v>1600</v>
      </c>
      <c r="L111" s="6" t="s">
        <v>1470</v>
      </c>
      <c r="M111" s="6" t="s">
        <v>1601</v>
      </c>
      <c r="N111" s="6" t="s">
        <v>1599</v>
      </c>
      <c r="O111" s="6" t="s">
        <v>1470</v>
      </c>
      <c r="P111" s="6" t="s">
        <v>1601</v>
      </c>
      <c r="Q111" s="6" t="s">
        <v>1599</v>
      </c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7"/>
      <c r="AC111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11" s="67" t="str" cm="1">
        <f t="array" ref="AD11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11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2" spans="1:31" ht="72" customHeight="1" thickTop="1" thickBot="1" x14ac:dyDescent="0.45">
      <c r="A112" s="35">
        <v>46072</v>
      </c>
      <c r="B112" s="6" t="s">
        <v>1468</v>
      </c>
      <c r="C112" s="6" t="s">
        <v>1499</v>
      </c>
      <c r="D112" s="6" t="s">
        <v>1474</v>
      </c>
      <c r="E112" s="66" t="s">
        <v>249</v>
      </c>
      <c r="F112" s="59"/>
      <c r="G112" s="59"/>
      <c r="H112" s="59">
        <v>100</v>
      </c>
      <c r="I112" s="59"/>
      <c r="J112" s="59"/>
      <c r="K112" s="6" t="s">
        <v>1602</v>
      </c>
      <c r="L112" s="6" t="s">
        <v>1603</v>
      </c>
      <c r="M112" s="6" t="s">
        <v>1604</v>
      </c>
      <c r="N112" s="6" t="s">
        <v>1605</v>
      </c>
      <c r="O112" s="6" t="s">
        <v>1606</v>
      </c>
      <c r="P112" s="6" t="s">
        <v>1607</v>
      </c>
      <c r="Q112" s="6" t="s">
        <v>1607</v>
      </c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7"/>
      <c r="AC112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12" s="67" t="str" cm="1">
        <f t="array" ref="AD11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2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3" spans="1:31" ht="72" customHeight="1" thickTop="1" thickBot="1" x14ac:dyDescent="0.45">
      <c r="A113" s="35">
        <v>46073</v>
      </c>
      <c r="B113" s="6" t="s">
        <v>1468</v>
      </c>
      <c r="C113" s="6" t="s">
        <v>139</v>
      </c>
      <c r="D113" s="6" t="s">
        <v>1534</v>
      </c>
      <c r="E113" s="66" t="s">
        <v>702</v>
      </c>
      <c r="F113" s="59"/>
      <c r="G113" s="59"/>
      <c r="H113" s="59"/>
      <c r="I113" s="59"/>
      <c r="J113" s="59">
        <v>10000</v>
      </c>
      <c r="K113" s="6" t="s">
        <v>1608</v>
      </c>
      <c r="L113" s="6" t="s">
        <v>1609</v>
      </c>
      <c r="M113" s="6" t="s">
        <v>1610</v>
      </c>
      <c r="N113" s="6" t="s">
        <v>1591</v>
      </c>
      <c r="O113" s="6" t="s">
        <v>1611</v>
      </c>
      <c r="P113" s="6" t="s">
        <v>1612</v>
      </c>
      <c r="Q113" s="6" t="s">
        <v>1613</v>
      </c>
      <c r="R113" s="6" t="s">
        <v>1614</v>
      </c>
      <c r="S113" s="6"/>
      <c r="T113" s="6"/>
      <c r="U113" s="6"/>
      <c r="V113" s="6"/>
      <c r="W113" s="6"/>
      <c r="X113" s="6"/>
      <c r="Y113" s="6"/>
      <c r="Z113" s="6"/>
      <c r="AA113" s="6"/>
      <c r="AB113" s="67"/>
      <c r="AC113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13" s="67" t="str" cm="1">
        <f t="array" ref="AD11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3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4" spans="1:31" ht="72" customHeight="1" thickTop="1" thickBot="1" x14ac:dyDescent="0.45">
      <c r="A114" s="35">
        <v>46074</v>
      </c>
      <c r="B114" s="6" t="s">
        <v>1468</v>
      </c>
      <c r="C114" s="6" t="s">
        <v>1499</v>
      </c>
      <c r="D114" s="6" t="s">
        <v>1474</v>
      </c>
      <c r="E114" s="66" t="s">
        <v>1485</v>
      </c>
      <c r="F114" s="59"/>
      <c r="G114" s="59"/>
      <c r="H114" s="59">
        <v>50</v>
      </c>
      <c r="I114" s="59"/>
      <c r="J114" s="59"/>
      <c r="K114" s="6" t="s">
        <v>1615</v>
      </c>
      <c r="L114" s="6" t="s">
        <v>1616</v>
      </c>
      <c r="M114" s="6" t="s">
        <v>1617</v>
      </c>
      <c r="N114" s="6" t="s">
        <v>1618</v>
      </c>
      <c r="O114" s="6" t="s">
        <v>1619</v>
      </c>
      <c r="P114" s="6" t="s">
        <v>1620</v>
      </c>
      <c r="Q114" s="6" t="s">
        <v>1621</v>
      </c>
      <c r="R114" s="6" t="s">
        <v>1622</v>
      </c>
      <c r="S114" s="6" t="s">
        <v>1623</v>
      </c>
      <c r="T114" s="6" t="s">
        <v>1624</v>
      </c>
      <c r="U114" s="6"/>
      <c r="V114" s="6"/>
      <c r="W114" s="6"/>
      <c r="X114" s="6"/>
      <c r="Y114" s="6"/>
      <c r="Z114" s="6"/>
      <c r="AA114" s="6"/>
      <c r="AB114" s="67"/>
      <c r="AC114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114" s="67" t="str" cm="1">
        <f t="array" ref="AD11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14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15" spans="1:31" ht="72" customHeight="1" thickTop="1" thickBot="1" x14ac:dyDescent="0.45">
      <c r="A115" s="35">
        <v>46074</v>
      </c>
      <c r="B115" s="6" t="s">
        <v>1468</v>
      </c>
      <c r="C115" s="6" t="s">
        <v>148</v>
      </c>
      <c r="D115" s="6" t="s">
        <v>1474</v>
      </c>
      <c r="E115" s="66" t="s">
        <v>1485</v>
      </c>
      <c r="F115" s="59"/>
      <c r="G115" s="59"/>
      <c r="H115" s="59"/>
      <c r="I115" s="59"/>
      <c r="J115" s="59"/>
      <c r="K115" s="6" t="s">
        <v>1625</v>
      </c>
      <c r="L115" s="6" t="s">
        <v>1626</v>
      </c>
      <c r="M115" s="6" t="s">
        <v>1627</v>
      </c>
      <c r="N115" s="6" t="s">
        <v>1628</v>
      </c>
      <c r="O115" s="6" t="s">
        <v>1625</v>
      </c>
      <c r="P115" s="6" t="s">
        <v>1571</v>
      </c>
      <c r="Q115" s="6" t="s">
        <v>1629</v>
      </c>
      <c r="R115" s="6" t="s">
        <v>1568</v>
      </c>
      <c r="S115" s="6" t="s">
        <v>1629</v>
      </c>
      <c r="T115" s="6" t="s">
        <v>1568</v>
      </c>
      <c r="U115" s="6" t="s">
        <v>1568</v>
      </c>
      <c r="V115" s="6"/>
      <c r="W115" s="6"/>
      <c r="X115" s="6"/>
      <c r="Y115" s="6"/>
      <c r="Z115" s="6"/>
      <c r="AA115" s="6"/>
      <c r="AB115" s="67"/>
      <c r="AC115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115" s="67" t="str" cm="1">
        <f t="array" ref="AD11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15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6" spans="1:31" ht="72" customHeight="1" thickTop="1" thickBot="1" x14ac:dyDescent="0.45">
      <c r="A116" s="35">
        <v>46075</v>
      </c>
      <c r="B116" s="6" t="s">
        <v>1468</v>
      </c>
      <c r="C116" s="6" t="s">
        <v>1080</v>
      </c>
      <c r="D116" s="6" t="s">
        <v>1474</v>
      </c>
      <c r="E116" s="66" t="s">
        <v>1512</v>
      </c>
      <c r="F116" s="59">
        <v>123500</v>
      </c>
      <c r="G116" s="59"/>
      <c r="H116" s="59"/>
      <c r="I116" s="59"/>
      <c r="J116" s="59"/>
      <c r="K116" s="6" t="s">
        <v>1630</v>
      </c>
      <c r="L116" s="6" t="s">
        <v>1631</v>
      </c>
      <c r="M116" s="6" t="s">
        <v>1632</v>
      </c>
      <c r="N116" s="6" t="s">
        <v>1633</v>
      </c>
      <c r="O116" s="6" t="s">
        <v>1634</v>
      </c>
      <c r="P116" s="6"/>
      <c r="Q116" s="6"/>
      <c r="R116" s="6" t="s">
        <v>1635</v>
      </c>
      <c r="S116" s="6" t="s">
        <v>1636</v>
      </c>
      <c r="T116" s="6" t="s">
        <v>1637</v>
      </c>
      <c r="U116" s="6" t="s">
        <v>1632</v>
      </c>
      <c r="V116" s="6" t="s">
        <v>1638</v>
      </c>
      <c r="W116" s="6" t="s">
        <v>1639</v>
      </c>
      <c r="X116" s="6" t="s">
        <v>1630</v>
      </c>
      <c r="Y116" s="6" t="s">
        <v>1640</v>
      </c>
      <c r="Z116" s="6" t="s">
        <v>1641</v>
      </c>
      <c r="AA116" s="6" t="s">
        <v>1642</v>
      </c>
      <c r="AB116" s="67"/>
      <c r="AC116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6:9</v>
      </c>
      <c r="AD116" s="67" t="str" cm="1">
        <f t="array" ref="AD11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16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7" spans="1:31" ht="72" customHeight="1" thickTop="1" thickBot="1" x14ac:dyDescent="0.45">
      <c r="A117" s="35">
        <v>46076</v>
      </c>
      <c r="B117" s="6" t="s">
        <v>1468</v>
      </c>
      <c r="C117" s="6" t="s">
        <v>146</v>
      </c>
      <c r="D117" s="6" t="s">
        <v>1534</v>
      </c>
      <c r="E117" s="66" t="s">
        <v>226</v>
      </c>
      <c r="F117" s="59"/>
      <c r="G117" s="59"/>
      <c r="H117" s="59"/>
      <c r="I117" s="59"/>
      <c r="J117" s="59">
        <v>5000</v>
      </c>
      <c r="K117" s="6" t="s">
        <v>1644</v>
      </c>
      <c r="L117" s="6" t="s">
        <v>1645</v>
      </c>
      <c r="M117" s="6" t="s">
        <v>1646</v>
      </c>
      <c r="N117" s="6"/>
      <c r="O117" s="6"/>
      <c r="P117" s="6"/>
      <c r="Q117" s="6"/>
      <c r="R117" s="6" t="s">
        <v>1647</v>
      </c>
      <c r="S117" s="6" t="s">
        <v>1648</v>
      </c>
      <c r="T117" s="6" t="s">
        <v>1649</v>
      </c>
      <c r="U117" s="6"/>
      <c r="V117" s="6"/>
      <c r="W117" s="6"/>
      <c r="X117" s="6"/>
      <c r="Y117" s="6"/>
      <c r="Z117" s="6"/>
      <c r="AA117" s="6"/>
      <c r="AB117" s="67"/>
      <c r="AC117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6:0</v>
      </c>
      <c r="AD117" s="67" t="str" cm="1">
        <f t="array" ref="AD11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17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8" spans="1:31" ht="72" customHeight="1" thickTop="1" thickBot="1" x14ac:dyDescent="0.45">
      <c r="A118" s="35">
        <v>46080</v>
      </c>
      <c r="B118" s="6" t="s">
        <v>1468</v>
      </c>
      <c r="C118" s="6" t="s">
        <v>1103</v>
      </c>
      <c r="D118" s="6" t="s">
        <v>1534</v>
      </c>
      <c r="E118" s="66" t="s">
        <v>226</v>
      </c>
      <c r="F118" s="59"/>
      <c r="G118" s="59"/>
      <c r="H118" s="59"/>
      <c r="I118" s="59"/>
      <c r="J118" s="59">
        <v>5000</v>
      </c>
      <c r="K118" s="6" t="s">
        <v>1652</v>
      </c>
      <c r="L118" s="6" t="s">
        <v>1653</v>
      </c>
      <c r="M118" s="6" t="s">
        <v>1654</v>
      </c>
      <c r="N118" s="6" t="s">
        <v>1655</v>
      </c>
      <c r="O118" s="6"/>
      <c r="P118" s="6"/>
      <c r="Q118" s="6"/>
      <c r="R118" s="6" t="s">
        <v>1656</v>
      </c>
      <c r="S118" s="6" t="s">
        <v>1657</v>
      </c>
      <c r="T118" s="6" t="s">
        <v>1658</v>
      </c>
      <c r="U118" s="6"/>
      <c r="V118" s="6"/>
      <c r="W118" s="6"/>
      <c r="X118" s="6"/>
      <c r="Y118" s="6"/>
      <c r="Z118" s="6"/>
      <c r="AA118" s="6" t="s">
        <v>1659</v>
      </c>
      <c r="AB118" s="67"/>
      <c r="AC118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118" s="67" t="str" cm="1">
        <f t="array" ref="AD11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18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9" spans="1:31" ht="72" customHeight="1" thickTop="1" thickBot="1" x14ac:dyDescent="0.45">
      <c r="A119" s="35">
        <v>46084</v>
      </c>
      <c r="B119" s="6" t="s">
        <v>1468</v>
      </c>
      <c r="C119" s="6" t="s">
        <v>128</v>
      </c>
      <c r="D119" s="6" t="s">
        <v>1660</v>
      </c>
      <c r="E119" s="66" t="s">
        <v>702</v>
      </c>
      <c r="F119" s="59"/>
      <c r="G119" s="59">
        <v>80000</v>
      </c>
      <c r="H119" s="59"/>
      <c r="I119" s="59"/>
      <c r="J119" s="59"/>
      <c r="K119" s="6" t="s">
        <v>1661</v>
      </c>
      <c r="L119" s="6" t="s">
        <v>1662</v>
      </c>
      <c r="M119" s="6" t="s">
        <v>1663</v>
      </c>
      <c r="N119" s="6" t="s">
        <v>1664</v>
      </c>
      <c r="O119" s="6" t="s">
        <v>1665</v>
      </c>
      <c r="P119" s="6" t="s">
        <v>1666</v>
      </c>
      <c r="Q119" s="6" t="s">
        <v>1667</v>
      </c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7"/>
      <c r="AC119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119" s="67" t="str" cm="1">
        <f t="array" ref="AD11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9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0" spans="1:31" ht="72" customHeight="1" thickTop="1" thickBot="1" x14ac:dyDescent="0.45">
      <c r="A120" s="35">
        <v>46089</v>
      </c>
      <c r="B120" s="6" t="s">
        <v>1468</v>
      </c>
      <c r="C120" s="6" t="s">
        <v>1086</v>
      </c>
      <c r="D120" s="6" t="s">
        <v>1660</v>
      </c>
      <c r="E120" s="66" t="s">
        <v>702</v>
      </c>
      <c r="F120" s="59"/>
      <c r="G120" s="59"/>
      <c r="H120" s="59"/>
      <c r="I120" s="59"/>
      <c r="J120" s="59"/>
      <c r="K120" s="6" t="s">
        <v>1670</v>
      </c>
      <c r="L120" s="6" t="s">
        <v>1671</v>
      </c>
      <c r="M120" s="6" t="s">
        <v>1672</v>
      </c>
      <c r="N120" s="6" t="s">
        <v>1673</v>
      </c>
      <c r="O120" s="6" t="s">
        <v>1674</v>
      </c>
      <c r="P120" s="6" t="s">
        <v>1675</v>
      </c>
      <c r="Q120" s="6" t="s">
        <v>1676</v>
      </c>
      <c r="R120" s="6" t="s">
        <v>1677</v>
      </c>
      <c r="S120" s="6"/>
      <c r="T120" s="6"/>
      <c r="U120" s="6"/>
      <c r="V120" s="6"/>
      <c r="W120" s="6"/>
      <c r="X120" s="6"/>
      <c r="Y120" s="6"/>
      <c r="Z120" s="6"/>
      <c r="AA120" s="6"/>
      <c r="AB120" s="67"/>
      <c r="AC120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20" s="67" t="str" cm="1">
        <f t="array" ref="AD12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20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1" spans="1:31" ht="72" customHeight="1" thickTop="1" thickBot="1" x14ac:dyDescent="0.45">
      <c r="A121" s="35">
        <v>46095</v>
      </c>
      <c r="B121" s="6" t="s">
        <v>1468</v>
      </c>
      <c r="C121" s="6" t="s">
        <v>146</v>
      </c>
      <c r="D121" s="6" t="s">
        <v>1660</v>
      </c>
      <c r="E121" s="66" t="s">
        <v>702</v>
      </c>
      <c r="F121" s="59"/>
      <c r="G121" s="59"/>
      <c r="H121" s="59"/>
      <c r="I121" s="59"/>
      <c r="J121" s="59"/>
      <c r="K121" s="6" t="s">
        <v>1565</v>
      </c>
      <c r="L121" s="6" t="s">
        <v>1680</v>
      </c>
      <c r="M121" s="6" t="s">
        <v>1681</v>
      </c>
      <c r="N121" s="6" t="s">
        <v>1682</v>
      </c>
      <c r="O121" s="6" t="s">
        <v>1683</v>
      </c>
      <c r="P121" s="6" t="s">
        <v>1684</v>
      </c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7"/>
      <c r="AC121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1:5</v>
      </c>
      <c r="AD121" s="67" t="str" cm="1">
        <f t="array" ref="AD12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21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2" spans="1:31" ht="72" customHeight="1" thickTop="1" thickBot="1" x14ac:dyDescent="0.45">
      <c r="A122" s="35">
        <v>46098</v>
      </c>
      <c r="B122" s="6" t="s">
        <v>1727</v>
      </c>
      <c r="C122" s="6" t="s">
        <v>1679</v>
      </c>
      <c r="D122" s="6" t="s">
        <v>1474</v>
      </c>
      <c r="E122" s="66" t="s">
        <v>249</v>
      </c>
      <c r="F122" s="59"/>
      <c r="G122" s="59"/>
      <c r="H122" s="59"/>
      <c r="I122" s="59"/>
      <c r="J122" s="59"/>
      <c r="K122" s="6" t="s">
        <v>1685</v>
      </c>
      <c r="L122" s="6" t="s">
        <v>1686</v>
      </c>
      <c r="M122" s="6" t="s">
        <v>1687</v>
      </c>
      <c r="N122" s="6" t="s">
        <v>1688</v>
      </c>
      <c r="O122" s="6" t="s">
        <v>1689</v>
      </c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7"/>
      <c r="AC122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122" s="67" t="str" cm="1">
        <f t="array" ref="AD12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22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3" spans="1:31" ht="72" customHeight="1" thickTop="1" thickBot="1" x14ac:dyDescent="0.45">
      <c r="A123" s="61">
        <v>46103</v>
      </c>
      <c r="B123" s="3" t="s">
        <v>1727</v>
      </c>
      <c r="C123" s="3" t="s">
        <v>1484</v>
      </c>
      <c r="D123" s="3" t="s">
        <v>1474</v>
      </c>
      <c r="E123" s="50" t="s">
        <v>702</v>
      </c>
      <c r="G123" s="5">
        <v>240000</v>
      </c>
      <c r="H123" s="5">
        <v>100</v>
      </c>
      <c r="K123" s="3" t="s">
        <v>1827</v>
      </c>
      <c r="L123" s="3" t="s">
        <v>1828</v>
      </c>
      <c r="M123" s="3" t="s">
        <v>1829</v>
      </c>
      <c r="N123" s="3" t="s">
        <v>1830</v>
      </c>
      <c r="O123" s="3" t="s">
        <v>1831</v>
      </c>
      <c r="P123" s="3" t="s">
        <v>1832</v>
      </c>
      <c r="Q123" s="3" t="s">
        <v>1813</v>
      </c>
      <c r="AC123" s="51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123" s="67" t="str" cm="1">
        <f t="array" ref="AD12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3" s="5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24" spans="1:31" ht="72" customHeight="1" thickTop="1" thickBot="1" x14ac:dyDescent="0.45">
      <c r="A124" s="35">
        <v>46114</v>
      </c>
      <c r="B124" s="6" t="s">
        <v>1727</v>
      </c>
      <c r="C124" s="6" t="s">
        <v>1499</v>
      </c>
      <c r="D124" s="6" t="s">
        <v>1474</v>
      </c>
      <c r="E124" s="66" t="s">
        <v>249</v>
      </c>
      <c r="F124" s="59"/>
      <c r="G124" s="59"/>
      <c r="H124" s="59">
        <v>100</v>
      </c>
      <c r="I124" s="59"/>
      <c r="J124" s="59">
        <v>12000</v>
      </c>
      <c r="K124" s="6" t="s">
        <v>1738</v>
      </c>
      <c r="L124" s="6" t="s">
        <v>1739</v>
      </c>
      <c r="M124" s="6" t="s">
        <v>1740</v>
      </c>
      <c r="N124" s="6" t="s">
        <v>1741</v>
      </c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7"/>
      <c r="AC124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0:4</v>
      </c>
      <c r="AD124" s="67" t="str" cm="1">
        <f t="array" ref="AD12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24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5" spans="1:31" ht="72" customHeight="1" thickTop="1" thickBot="1" x14ac:dyDescent="0.45">
      <c r="A125" s="35">
        <v>46114</v>
      </c>
      <c r="B125" s="6" t="s">
        <v>1727</v>
      </c>
      <c r="C125" s="6" t="s">
        <v>1499</v>
      </c>
      <c r="D125" s="6" t="s">
        <v>1474</v>
      </c>
      <c r="E125" s="66" t="s">
        <v>249</v>
      </c>
      <c r="F125" s="59"/>
      <c r="G125" s="59"/>
      <c r="H125" s="59"/>
      <c r="I125" s="59"/>
      <c r="J125" s="59"/>
      <c r="K125" s="6" t="s">
        <v>1744</v>
      </c>
      <c r="L125" s="6" t="s">
        <v>1745</v>
      </c>
      <c r="M125" s="6" t="s">
        <v>1746</v>
      </c>
      <c r="N125" s="6" t="s">
        <v>1740</v>
      </c>
      <c r="O125" s="6" t="s">
        <v>1742</v>
      </c>
      <c r="P125" s="6" t="s">
        <v>1739</v>
      </c>
      <c r="Q125" s="6" t="s">
        <v>1743</v>
      </c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7"/>
      <c r="AC125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25" s="67" t="str" cm="1">
        <f t="array" ref="AD12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25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6" spans="1:31" ht="72" customHeight="1" thickTop="1" thickBot="1" x14ac:dyDescent="0.45">
      <c r="A126" s="35">
        <v>46119</v>
      </c>
      <c r="B126" s="6" t="s">
        <v>1727</v>
      </c>
      <c r="C126" s="6" t="s">
        <v>1499</v>
      </c>
      <c r="D126" s="6" t="s">
        <v>1474</v>
      </c>
      <c r="E126" s="66" t="s">
        <v>226</v>
      </c>
      <c r="F126" s="59"/>
      <c r="G126" s="59"/>
      <c r="H126" s="59">
        <v>100</v>
      </c>
      <c r="I126" s="59"/>
      <c r="J126" s="59"/>
      <c r="K126" s="6" t="s">
        <v>1796</v>
      </c>
      <c r="L126" s="6" t="s">
        <v>1797</v>
      </c>
      <c r="M126" s="6" t="s">
        <v>1798</v>
      </c>
      <c r="N126" s="6"/>
      <c r="O126" s="6"/>
      <c r="P126" s="6"/>
      <c r="Q126" s="6"/>
      <c r="R126" s="6" t="s">
        <v>1799</v>
      </c>
      <c r="S126" s="6" t="s">
        <v>1800</v>
      </c>
      <c r="T126" s="6" t="s">
        <v>1801</v>
      </c>
      <c r="U126" s="6" t="s">
        <v>1802</v>
      </c>
      <c r="V126" s="6"/>
      <c r="W126" s="6"/>
      <c r="X126" s="6"/>
      <c r="Y126" s="6"/>
      <c r="Z126" s="6"/>
      <c r="AA126" s="6"/>
      <c r="AB126" s="67"/>
      <c r="AC126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6:1</v>
      </c>
      <c r="AD126" s="67" t="str" cm="1">
        <f t="array" ref="AD12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26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7" spans="1:31" ht="72" customHeight="1" thickTop="1" thickBot="1" x14ac:dyDescent="0.45">
      <c r="A127" s="35">
        <v>46123</v>
      </c>
      <c r="B127" s="6" t="s">
        <v>1727</v>
      </c>
      <c r="C127" s="6" t="s">
        <v>1484</v>
      </c>
      <c r="D127" s="6" t="s">
        <v>1474</v>
      </c>
      <c r="E127" s="66" t="s">
        <v>702</v>
      </c>
      <c r="F127" s="59"/>
      <c r="G127" s="59">
        <v>15000</v>
      </c>
      <c r="H127" s="59"/>
      <c r="I127" s="59"/>
      <c r="J127" s="59"/>
      <c r="K127" s="6" t="s">
        <v>1789</v>
      </c>
      <c r="L127" s="6" t="s">
        <v>1790</v>
      </c>
      <c r="M127" s="6" t="s">
        <v>1791</v>
      </c>
      <c r="N127" s="6" t="s">
        <v>1792</v>
      </c>
      <c r="O127" s="6" t="s">
        <v>1793</v>
      </c>
      <c r="P127" s="6" t="s">
        <v>1794</v>
      </c>
      <c r="Q127" s="6" t="s">
        <v>1795</v>
      </c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7"/>
      <c r="AC127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127" s="67" t="str" cm="1">
        <f t="array" ref="AD12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7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28" spans="1:31" ht="72" customHeight="1" thickTop="1" thickBot="1" x14ac:dyDescent="0.45">
      <c r="A128" s="35">
        <v>46129</v>
      </c>
      <c r="B128" s="6" t="s">
        <v>1727</v>
      </c>
      <c r="C128" s="6" t="s">
        <v>1499</v>
      </c>
      <c r="D128" s="6" t="s">
        <v>1474</v>
      </c>
      <c r="E128" s="66" t="s">
        <v>702</v>
      </c>
      <c r="F128" s="59">
        <v>30000</v>
      </c>
      <c r="G128" s="59"/>
      <c r="H128" s="59"/>
      <c r="I128" s="59"/>
      <c r="J128" s="59"/>
      <c r="K128" s="6" t="s">
        <v>1803</v>
      </c>
      <c r="L128" s="6" t="s">
        <v>1804</v>
      </c>
      <c r="M128" s="6" t="s">
        <v>1805</v>
      </c>
      <c r="N128" s="6" t="s">
        <v>1806</v>
      </c>
      <c r="O128" s="6" t="s">
        <v>1807</v>
      </c>
      <c r="P128" s="6" t="s">
        <v>1808</v>
      </c>
      <c r="Q128" s="6" t="s">
        <v>1809</v>
      </c>
      <c r="R128" s="6" t="s">
        <v>1811</v>
      </c>
      <c r="S128" s="6" t="s">
        <v>1810</v>
      </c>
      <c r="T128" s="6"/>
      <c r="U128" s="6"/>
      <c r="V128" s="6"/>
      <c r="W128" s="6"/>
      <c r="X128" s="6"/>
      <c r="Y128" s="6"/>
      <c r="Z128" s="6"/>
      <c r="AA128" s="6"/>
      <c r="AB128" s="67"/>
      <c r="AC128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7:2</v>
      </c>
      <c r="AD128" s="67" t="str" cm="1">
        <f t="array" ref="AD12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28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9" spans="1:31" ht="72" customHeight="1" thickTop="1" thickBot="1" x14ac:dyDescent="0.45">
      <c r="A129" s="35">
        <v>46134</v>
      </c>
      <c r="B129" s="6" t="s">
        <v>1727</v>
      </c>
      <c r="C129" s="6" t="s">
        <v>1484</v>
      </c>
      <c r="D129" s="6" t="s">
        <v>281</v>
      </c>
      <c r="E129" s="66" t="s">
        <v>1485</v>
      </c>
      <c r="F129" s="59"/>
      <c r="G129" s="59">
        <v>750000</v>
      </c>
      <c r="H129" s="59">
        <v>100</v>
      </c>
      <c r="I129" s="59"/>
      <c r="J129" s="59"/>
      <c r="K129" s="6" t="s">
        <v>1812</v>
      </c>
      <c r="L129" s="6" t="s">
        <v>1813</v>
      </c>
      <c r="M129" s="6" t="s">
        <v>1814</v>
      </c>
      <c r="N129" s="6" t="s">
        <v>1815</v>
      </c>
      <c r="O129" s="6" t="s">
        <v>1816</v>
      </c>
      <c r="P129" s="6" t="s">
        <v>1817</v>
      </c>
      <c r="Q129" s="6" t="s">
        <v>1818</v>
      </c>
      <c r="R129" s="6" t="s">
        <v>1819</v>
      </c>
      <c r="S129" s="6"/>
      <c r="T129" s="6"/>
      <c r="U129" s="6"/>
      <c r="V129" s="6"/>
      <c r="W129" s="6"/>
      <c r="X129" s="6"/>
      <c r="Y129" s="6"/>
      <c r="Z129" s="6"/>
      <c r="AA129" s="6"/>
      <c r="AB129" s="67"/>
      <c r="AC129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8:8</v>
      </c>
      <c r="AD129" s="67" t="str" cm="1">
        <f t="array" ref="AD12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9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30" spans="1:31" ht="72" customHeight="1" thickTop="1" thickBot="1" x14ac:dyDescent="0.45">
      <c r="A130" s="35">
        <v>46137</v>
      </c>
      <c r="B130" s="6" t="s">
        <v>1727</v>
      </c>
      <c r="C130" s="6" t="s">
        <v>1085</v>
      </c>
      <c r="D130" s="6" t="s">
        <v>0</v>
      </c>
      <c r="E130" s="66" t="s">
        <v>702</v>
      </c>
      <c r="F130" s="59"/>
      <c r="G130" s="59"/>
      <c r="H130" s="59"/>
      <c r="I130" s="59"/>
      <c r="J130" s="59"/>
      <c r="K130" s="6" t="s">
        <v>1820</v>
      </c>
      <c r="L130" s="6" t="s">
        <v>1476</v>
      </c>
      <c r="M130" s="6" t="s">
        <v>1821</v>
      </c>
      <c r="N130" s="6" t="s">
        <v>1822</v>
      </c>
      <c r="O130" s="6" t="s">
        <v>1823</v>
      </c>
      <c r="P130" s="6" t="s">
        <v>1824</v>
      </c>
      <c r="Q130" s="6" t="s">
        <v>1825</v>
      </c>
      <c r="R130" s="6" t="s">
        <v>1826</v>
      </c>
      <c r="S130" s="6" t="s">
        <v>1824</v>
      </c>
      <c r="T130" s="6"/>
      <c r="U130" s="6"/>
      <c r="V130" s="6"/>
      <c r="W130" s="6"/>
      <c r="X130" s="6"/>
      <c r="Y130" s="6"/>
      <c r="Z130" s="6"/>
      <c r="AA130" s="6"/>
      <c r="AB130" s="67"/>
      <c r="AC130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30" s="67" t="str" cm="1">
        <f t="array" ref="AD13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0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1" spans="1:31" ht="72" customHeight="1" thickTop="1" thickBot="1" x14ac:dyDescent="0.45">
      <c r="A131" s="35">
        <v>46155</v>
      </c>
      <c r="B131" s="6" t="s">
        <v>1833</v>
      </c>
      <c r="C131" s="6" t="s">
        <v>1499</v>
      </c>
      <c r="D131" s="6" t="s">
        <v>1474</v>
      </c>
      <c r="E131" s="66" t="s">
        <v>702</v>
      </c>
      <c r="F131" s="59"/>
      <c r="G131" s="59">
        <v>2760000</v>
      </c>
      <c r="H131" s="59"/>
      <c r="I131" s="59"/>
      <c r="J131" s="59"/>
      <c r="K131" s="6" t="s">
        <v>1834</v>
      </c>
      <c r="L131" s="6" t="s">
        <v>1835</v>
      </c>
      <c r="M131" s="6" t="s">
        <v>1836</v>
      </c>
      <c r="N131" s="6" t="s">
        <v>1837</v>
      </c>
      <c r="O131" s="6" t="s">
        <v>1838</v>
      </c>
      <c r="P131" s="6" t="s">
        <v>1839</v>
      </c>
      <c r="Q131" s="6" t="s">
        <v>1854</v>
      </c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7"/>
      <c r="AC131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131" s="67" t="str" cm="1">
        <f t="array" ref="AD13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1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2" spans="1:31" ht="72" customHeight="1" thickTop="1" thickBot="1" x14ac:dyDescent="0.45">
      <c r="A132" s="35">
        <v>46162</v>
      </c>
      <c r="B132" s="6" t="s">
        <v>1833</v>
      </c>
      <c r="C132" s="6" t="s">
        <v>1080</v>
      </c>
      <c r="D132" s="6" t="s">
        <v>0</v>
      </c>
      <c r="E132" s="66" t="s">
        <v>702</v>
      </c>
      <c r="F132" s="59">
        <v>200000</v>
      </c>
      <c r="G132" s="59"/>
      <c r="H132" s="59"/>
      <c r="I132" s="59"/>
      <c r="J132" s="59"/>
      <c r="K132" s="6" t="s">
        <v>1840</v>
      </c>
      <c r="L132" s="6" t="s">
        <v>1841</v>
      </c>
      <c r="M132" s="6" t="s">
        <v>1842</v>
      </c>
      <c r="N132" s="6" t="s">
        <v>1843</v>
      </c>
      <c r="O132" s="6" t="s">
        <v>1844</v>
      </c>
      <c r="P132" s="6" t="s">
        <v>1845</v>
      </c>
      <c r="Q132" s="6" t="s">
        <v>1846</v>
      </c>
      <c r="R132" s="6" t="s">
        <v>1847</v>
      </c>
      <c r="S132" s="6" t="s">
        <v>1848</v>
      </c>
      <c r="T132" s="6"/>
      <c r="U132" s="6"/>
      <c r="V132" s="6"/>
      <c r="W132" s="6"/>
      <c r="X132" s="6"/>
      <c r="Y132" s="6"/>
      <c r="Z132" s="6"/>
      <c r="AA132" s="6"/>
      <c r="AB132" s="67"/>
      <c r="AC132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32" s="67" t="str" cm="1">
        <f t="array" ref="AD13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2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3" spans="1:31" ht="72" customHeight="1" thickTop="1" thickBot="1" x14ac:dyDescent="0.45">
      <c r="A133" s="35">
        <v>46167</v>
      </c>
      <c r="B133" s="6" t="s">
        <v>1833</v>
      </c>
      <c r="C133" s="6" t="s">
        <v>1499</v>
      </c>
      <c r="D133" s="6" t="s">
        <v>1474</v>
      </c>
      <c r="E133" s="66" t="s">
        <v>702</v>
      </c>
      <c r="F133" s="59"/>
      <c r="G133" s="59"/>
      <c r="H133" s="59"/>
      <c r="I133" s="59"/>
      <c r="J133" s="59"/>
      <c r="K133" s="6" t="s">
        <v>1850</v>
      </c>
      <c r="L133" s="6" t="s">
        <v>1849</v>
      </c>
      <c r="M133" s="6" t="s">
        <v>1851</v>
      </c>
      <c r="N133" s="6" t="s">
        <v>1852</v>
      </c>
      <c r="O133" s="6" t="s">
        <v>1853</v>
      </c>
      <c r="P133" s="6" t="s">
        <v>1855</v>
      </c>
      <c r="Q133" s="6" t="s">
        <v>1856</v>
      </c>
      <c r="R133" s="6" t="s">
        <v>1857</v>
      </c>
      <c r="S133" s="6"/>
      <c r="T133" s="6"/>
      <c r="U133" s="6"/>
      <c r="V133" s="6"/>
      <c r="W133" s="6"/>
      <c r="X133" s="6"/>
      <c r="Y133" s="6"/>
      <c r="Z133" s="6"/>
      <c r="AA133" s="6"/>
      <c r="AB133" s="67"/>
      <c r="AC133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33" s="67" t="str" cm="1">
        <f t="array" ref="AD13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33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34" spans="1:31" ht="72" customHeight="1" thickTop="1" thickBot="1" x14ac:dyDescent="0.45">
      <c r="A134" s="35">
        <v>46170</v>
      </c>
      <c r="B134" s="6" t="s">
        <v>1833</v>
      </c>
      <c r="C134" s="6" t="s">
        <v>1499</v>
      </c>
      <c r="D134" s="6" t="s">
        <v>1474</v>
      </c>
      <c r="E134" s="66" t="s">
        <v>702</v>
      </c>
      <c r="F134" s="59"/>
      <c r="G134" s="59"/>
      <c r="H134" s="59"/>
      <c r="I134" s="59"/>
      <c r="J134" s="59"/>
      <c r="K134" s="6" t="s">
        <v>1858</v>
      </c>
      <c r="L134" s="6" t="s">
        <v>1859</v>
      </c>
      <c r="M134" s="6" t="s">
        <v>1860</v>
      </c>
      <c r="N134" s="6" t="s">
        <v>1861</v>
      </c>
      <c r="O134" s="6" t="s">
        <v>1862</v>
      </c>
      <c r="P134" s="6" t="s">
        <v>1863</v>
      </c>
      <c r="Q134" s="6" t="s">
        <v>1864</v>
      </c>
      <c r="R134" s="6" t="s">
        <v>1861</v>
      </c>
      <c r="S134" s="6" t="s">
        <v>1859</v>
      </c>
      <c r="T134" s="6"/>
      <c r="U134" s="6"/>
      <c r="V134" s="6"/>
      <c r="W134" s="6"/>
      <c r="X134" s="6"/>
      <c r="Y134" s="6"/>
      <c r="Z134" s="6"/>
      <c r="AA134" s="6"/>
      <c r="AB134" s="67"/>
      <c r="AC134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134" s="67" t="str" cm="1">
        <f t="array" ref="AD13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4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5" spans="1:31" ht="72" customHeight="1" thickTop="1" thickBot="1" x14ac:dyDescent="0.45">
      <c r="A135" s="35">
        <v>46174</v>
      </c>
      <c r="B135" s="6" t="s">
        <v>1833</v>
      </c>
      <c r="C135" s="6" t="s">
        <v>128</v>
      </c>
      <c r="D135" s="6" t="s">
        <v>1660</v>
      </c>
      <c r="E135" s="66" t="s">
        <v>702</v>
      </c>
      <c r="F135" s="59"/>
      <c r="G135" s="59"/>
      <c r="H135" s="59"/>
      <c r="I135" s="59"/>
      <c r="J135" s="59"/>
      <c r="K135" s="6" t="s">
        <v>1865</v>
      </c>
      <c r="L135" s="6" t="s">
        <v>1866</v>
      </c>
      <c r="M135" s="6" t="s">
        <v>1567</v>
      </c>
      <c r="N135" s="6" t="s">
        <v>1867</v>
      </c>
      <c r="O135" s="6" t="s">
        <v>1868</v>
      </c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7"/>
      <c r="AC135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0:5</v>
      </c>
      <c r="AD135" s="67" t="str" cm="1">
        <f t="array" ref="AD13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5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6" spans="1:31" ht="72" customHeight="1" thickTop="1" thickBot="1" x14ac:dyDescent="0.45">
      <c r="A136" s="35">
        <v>46175</v>
      </c>
      <c r="B136" s="6" t="s">
        <v>1833</v>
      </c>
      <c r="C136" s="6" t="s">
        <v>139</v>
      </c>
      <c r="D136" s="6" t="s">
        <v>0</v>
      </c>
      <c r="E136" s="66" t="s">
        <v>249</v>
      </c>
      <c r="F136" s="59"/>
      <c r="G136" s="59"/>
      <c r="H136" s="59"/>
      <c r="I136" s="59"/>
      <c r="J136" s="59"/>
      <c r="K136" s="6" t="s">
        <v>1869</v>
      </c>
      <c r="L136" s="6" t="s">
        <v>1870</v>
      </c>
      <c r="M136" s="6" t="s">
        <v>1871</v>
      </c>
      <c r="N136" s="6" t="s">
        <v>1872</v>
      </c>
      <c r="O136" s="6" t="s">
        <v>1873</v>
      </c>
      <c r="P136" s="6" t="s">
        <v>1874</v>
      </c>
      <c r="Q136" s="6" t="s">
        <v>1875</v>
      </c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7"/>
      <c r="AC136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36" s="67" t="str" cm="1">
        <f t="array" ref="AD13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6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7" spans="1:31" ht="72" customHeight="1" thickTop="1" thickBot="1" x14ac:dyDescent="0.45">
      <c r="A137" s="35">
        <v>46176</v>
      </c>
      <c r="B137" s="6" t="s">
        <v>1833</v>
      </c>
      <c r="C137" s="6" t="s">
        <v>1499</v>
      </c>
      <c r="D137" s="6" t="s">
        <v>1474</v>
      </c>
      <c r="E137" s="66" t="s">
        <v>226</v>
      </c>
      <c r="F137" s="59"/>
      <c r="G137" s="59"/>
      <c r="H137" s="59"/>
      <c r="I137" s="59"/>
      <c r="J137" s="59"/>
      <c r="K137" s="6" t="s">
        <v>1876</v>
      </c>
      <c r="L137" s="6" t="s">
        <v>1877</v>
      </c>
      <c r="M137" s="6" t="s">
        <v>1878</v>
      </c>
      <c r="N137" s="6" t="s">
        <v>1879</v>
      </c>
      <c r="O137" s="6" t="s">
        <v>1546</v>
      </c>
      <c r="P137" s="6"/>
      <c r="Q137" s="6"/>
      <c r="R137" s="6" t="s">
        <v>1883</v>
      </c>
      <c r="S137" s="6" t="s">
        <v>1882</v>
      </c>
      <c r="T137" s="6" t="s">
        <v>1881</v>
      </c>
      <c r="U137" s="6" t="s">
        <v>1880</v>
      </c>
      <c r="V137" s="6"/>
      <c r="W137" s="6"/>
      <c r="X137" s="6"/>
      <c r="Y137" s="6"/>
      <c r="Z137" s="6"/>
      <c r="AA137" s="6"/>
      <c r="AB137" s="67"/>
      <c r="AC137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137" s="67" t="str" cm="1">
        <f t="array" ref="AD13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37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8" spans="1:31" ht="72" customHeight="1" thickTop="1" thickBot="1" x14ac:dyDescent="0.45">
      <c r="A138" s="35">
        <v>46177</v>
      </c>
      <c r="B138" s="6" t="s">
        <v>1833</v>
      </c>
      <c r="C138" s="6" t="s">
        <v>1499</v>
      </c>
      <c r="D138" s="6" t="s">
        <v>1474</v>
      </c>
      <c r="E138" s="66" t="s">
        <v>702</v>
      </c>
      <c r="F138" s="59"/>
      <c r="G138" s="59"/>
      <c r="H138" s="59"/>
      <c r="I138" s="59"/>
      <c r="J138" s="59"/>
      <c r="K138" s="6" t="s">
        <v>1884</v>
      </c>
      <c r="L138" s="6" t="s">
        <v>1482</v>
      </c>
      <c r="M138" s="6" t="s">
        <v>1885</v>
      </c>
      <c r="N138" s="6" t="s">
        <v>1886</v>
      </c>
      <c r="O138" s="6" t="s">
        <v>1880</v>
      </c>
      <c r="P138" s="6" t="s">
        <v>1887</v>
      </c>
      <c r="Q138" s="6" t="s">
        <v>1888</v>
      </c>
      <c r="R138" s="6" t="s">
        <v>1889</v>
      </c>
      <c r="S138" s="6"/>
      <c r="T138" s="6"/>
      <c r="U138" s="6"/>
      <c r="V138" s="6"/>
      <c r="W138" s="6"/>
      <c r="X138" s="6"/>
      <c r="Y138" s="6"/>
      <c r="Z138" s="6"/>
      <c r="AA138" s="6"/>
      <c r="AB138" s="67"/>
      <c r="AC138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38" s="67" t="str" cm="1">
        <f t="array" ref="AD13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8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9" spans="1:31" ht="72" customHeight="1" thickTop="1" thickBot="1" x14ac:dyDescent="0.45">
      <c r="A139" s="35">
        <v>46178</v>
      </c>
      <c r="B139" s="6" t="s">
        <v>1833</v>
      </c>
      <c r="C139" s="6" t="s">
        <v>1499</v>
      </c>
      <c r="D139" s="6" t="s">
        <v>1474</v>
      </c>
      <c r="E139" s="66" t="s">
        <v>249</v>
      </c>
      <c r="F139" s="59"/>
      <c r="G139" s="59"/>
      <c r="H139" s="59"/>
      <c r="I139" s="59"/>
      <c r="J139" s="59"/>
      <c r="K139" s="6" t="s">
        <v>1739</v>
      </c>
      <c r="L139" s="6" t="s">
        <v>1890</v>
      </c>
      <c r="M139" s="6" t="s">
        <v>1891</v>
      </c>
      <c r="N139" s="6" t="s">
        <v>1892</v>
      </c>
      <c r="O139" s="6" t="s">
        <v>1892</v>
      </c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7"/>
      <c r="AC139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139" s="67" t="str" cm="1">
        <f t="array" ref="AD13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9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0" spans="1:31" ht="72" customHeight="1" thickTop="1" thickBot="1" x14ac:dyDescent="0.45">
      <c r="A140" s="35">
        <v>46178</v>
      </c>
      <c r="B140" s="6" t="s">
        <v>1833</v>
      </c>
      <c r="C140" s="6" t="s">
        <v>1499</v>
      </c>
      <c r="D140" s="6" t="s">
        <v>1474</v>
      </c>
      <c r="E140" s="66" t="s">
        <v>249</v>
      </c>
      <c r="F140" s="59"/>
      <c r="G140" s="59"/>
      <c r="H140" s="59"/>
      <c r="I140" s="59"/>
      <c r="J140" s="59"/>
      <c r="K140" s="6" t="s">
        <v>1893</v>
      </c>
      <c r="L140" s="6" t="s">
        <v>1894</v>
      </c>
      <c r="M140" s="6" t="s">
        <v>1743</v>
      </c>
      <c r="N140" s="6" t="s">
        <v>1890</v>
      </c>
      <c r="O140" s="6" t="s">
        <v>1895</v>
      </c>
      <c r="P140" s="6" t="s">
        <v>1739</v>
      </c>
      <c r="Q140" s="6" t="s">
        <v>1894</v>
      </c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7"/>
      <c r="AC140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40" s="67" t="str" cm="1">
        <f t="array" ref="AD14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0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1" spans="1:31" ht="72" customHeight="1" thickTop="1" thickBot="1" x14ac:dyDescent="0.45">
      <c r="A141" s="35">
        <v>46179</v>
      </c>
      <c r="B141" s="6" t="s">
        <v>1833</v>
      </c>
      <c r="C141" s="6" t="s">
        <v>1499</v>
      </c>
      <c r="D141" s="6" t="s">
        <v>1474</v>
      </c>
      <c r="E141" s="66" t="s">
        <v>702</v>
      </c>
      <c r="F141" s="59"/>
      <c r="G141" s="59"/>
      <c r="H141" s="59"/>
      <c r="I141" s="59"/>
      <c r="J141" s="59"/>
      <c r="K141" s="6" t="s">
        <v>1897</v>
      </c>
      <c r="L141" s="6" t="s">
        <v>1898</v>
      </c>
      <c r="M141" s="6" t="s">
        <v>1602</v>
      </c>
      <c r="N141" s="6" t="s">
        <v>1899</v>
      </c>
      <c r="O141" s="6" t="s">
        <v>1900</v>
      </c>
      <c r="P141" s="6" t="s">
        <v>1901</v>
      </c>
      <c r="Q141" s="6" t="s">
        <v>1897</v>
      </c>
      <c r="R141" s="6" t="s">
        <v>1902</v>
      </c>
      <c r="S141" s="6"/>
      <c r="T141" s="6"/>
      <c r="U141" s="6"/>
      <c r="V141" s="6"/>
      <c r="W141" s="6"/>
      <c r="X141" s="6"/>
      <c r="Y141" s="6"/>
      <c r="Z141" s="6"/>
      <c r="AA141" s="6"/>
      <c r="AB141" s="67"/>
      <c r="AC141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41" s="67" t="str" cm="1">
        <f t="array" ref="AD14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1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2" spans="1:31" ht="72" customHeight="1" thickTop="1" thickBot="1" x14ac:dyDescent="0.45">
      <c r="A142" s="35">
        <v>46180</v>
      </c>
      <c r="B142" s="6" t="s">
        <v>1833</v>
      </c>
      <c r="C142" s="6" t="s">
        <v>1499</v>
      </c>
      <c r="D142" s="6" t="s">
        <v>1474</v>
      </c>
      <c r="E142" s="66" t="s">
        <v>1903</v>
      </c>
      <c r="F142" s="59"/>
      <c r="G142" s="59"/>
      <c r="H142" s="59"/>
      <c r="I142" s="59"/>
      <c r="J142" s="59"/>
      <c r="K142" s="6" t="s">
        <v>1904</v>
      </c>
      <c r="L142" s="6" t="s">
        <v>1905</v>
      </c>
      <c r="M142" s="6" t="s">
        <v>1906</v>
      </c>
      <c r="N142" s="6" t="s">
        <v>1907</v>
      </c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7"/>
      <c r="AC142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3:1</v>
      </c>
      <c r="AD142" s="67" t="str" cm="1">
        <f t="array" ref="AD14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2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3" spans="1:31" ht="72" customHeight="1" thickTop="1" thickBot="1" x14ac:dyDescent="0.45">
      <c r="A143" s="35">
        <v>46182</v>
      </c>
      <c r="B143" s="6" t="s">
        <v>1833</v>
      </c>
      <c r="C143" s="6" t="s">
        <v>1750</v>
      </c>
      <c r="D143" s="6" t="s">
        <v>1534</v>
      </c>
      <c r="E143" s="66" t="s">
        <v>226</v>
      </c>
      <c r="F143" s="59"/>
      <c r="G143" s="59"/>
      <c r="H143" s="59"/>
      <c r="I143" s="59"/>
      <c r="J143" s="59"/>
      <c r="K143" s="6" t="s">
        <v>1908</v>
      </c>
      <c r="L143" s="6" t="s">
        <v>1909</v>
      </c>
      <c r="M143" s="6" t="s">
        <v>1910</v>
      </c>
      <c r="N143" s="6" t="s">
        <v>1804</v>
      </c>
      <c r="O143" s="6"/>
      <c r="P143" s="6"/>
      <c r="Q143" s="6"/>
      <c r="R143" s="6" t="s">
        <v>1911</v>
      </c>
      <c r="S143" s="6" t="s">
        <v>1912</v>
      </c>
      <c r="T143" s="6" t="s">
        <v>1913</v>
      </c>
      <c r="U143" s="6" t="s">
        <v>1914</v>
      </c>
      <c r="V143" s="6" t="s">
        <v>1915</v>
      </c>
      <c r="W143" s="6"/>
      <c r="X143" s="6"/>
      <c r="Y143" s="6"/>
      <c r="Z143" s="6"/>
      <c r="AA143" s="6"/>
      <c r="AB143" s="67"/>
      <c r="AC143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143" s="67" t="str" cm="1">
        <f t="array" ref="AD14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43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4" spans="1:31" ht="72" customHeight="1" thickTop="1" thickBot="1" x14ac:dyDescent="0.45">
      <c r="A144" s="35">
        <v>46183</v>
      </c>
      <c r="B144" s="6" t="s">
        <v>1833</v>
      </c>
      <c r="C144" s="6" t="s">
        <v>1086</v>
      </c>
      <c r="D144" s="6" t="s">
        <v>1534</v>
      </c>
      <c r="E144" s="66" t="s">
        <v>226</v>
      </c>
      <c r="F144" s="59"/>
      <c r="G144" s="59"/>
      <c r="H144" s="59"/>
      <c r="I144" s="59"/>
      <c r="J144" s="59"/>
      <c r="K144" s="6" t="s">
        <v>1916</v>
      </c>
      <c r="L144" s="6" t="s">
        <v>1917</v>
      </c>
      <c r="M144" s="6" t="s">
        <v>1918</v>
      </c>
      <c r="N144" s="6"/>
      <c r="O144" s="6"/>
      <c r="P144" s="6"/>
      <c r="Q144" s="6"/>
      <c r="R144" s="6" t="s">
        <v>1919</v>
      </c>
      <c r="S144" s="6" t="s">
        <v>1920</v>
      </c>
      <c r="T144" s="6" t="s">
        <v>1921</v>
      </c>
      <c r="U144" s="6"/>
      <c r="V144" s="6"/>
      <c r="W144" s="6"/>
      <c r="X144" s="6"/>
      <c r="Y144" s="6"/>
      <c r="Z144" s="6"/>
      <c r="AA144" s="6" t="s">
        <v>1916</v>
      </c>
      <c r="AB144" s="67"/>
      <c r="AC144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44" s="67" t="str" cm="1">
        <f t="array" ref="AD14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44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5" spans="1:31" ht="72" customHeight="1" thickTop="1" thickBot="1" x14ac:dyDescent="0.45">
      <c r="A145" s="35">
        <v>46184</v>
      </c>
      <c r="B145" s="6" t="s">
        <v>1833</v>
      </c>
      <c r="C145" s="6" t="s">
        <v>1084</v>
      </c>
      <c r="D145" s="6" t="s">
        <v>1534</v>
      </c>
      <c r="E145" s="66" t="s">
        <v>226</v>
      </c>
      <c r="F145" s="59"/>
      <c r="G145" s="59"/>
      <c r="H145" s="59"/>
      <c r="I145" s="59"/>
      <c r="J145" s="59"/>
      <c r="K145" s="6" t="s">
        <v>1922</v>
      </c>
      <c r="L145" s="6" t="s">
        <v>1923</v>
      </c>
      <c r="M145" s="6" t="s">
        <v>1924</v>
      </c>
      <c r="N145" s="6"/>
      <c r="O145" s="6"/>
      <c r="P145" s="6"/>
      <c r="Q145" s="6"/>
      <c r="R145" s="6" t="s">
        <v>1925</v>
      </c>
      <c r="S145" s="6" t="s">
        <v>1926</v>
      </c>
      <c r="T145" s="6" t="s">
        <v>1927</v>
      </c>
      <c r="U145" s="6" t="s">
        <v>1928</v>
      </c>
      <c r="V145" s="6" t="s">
        <v>1929</v>
      </c>
      <c r="W145" s="6"/>
      <c r="X145" s="6"/>
      <c r="Y145" s="6"/>
      <c r="Z145" s="6"/>
      <c r="AA145" s="6"/>
      <c r="AB145" s="67"/>
      <c r="AC145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145" s="67" t="str" cm="1">
        <f t="array" ref="AD14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45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6" spans="1:31" ht="72" customHeight="1" thickTop="1" thickBot="1" x14ac:dyDescent="0.45">
      <c r="A146" s="35">
        <v>46186</v>
      </c>
      <c r="B146" s="6" t="s">
        <v>1833</v>
      </c>
      <c r="C146" s="6" t="s">
        <v>128</v>
      </c>
      <c r="D146" s="6" t="s">
        <v>0</v>
      </c>
      <c r="E146" s="66" t="s">
        <v>702</v>
      </c>
      <c r="F146" s="59"/>
      <c r="G146" s="59"/>
      <c r="H146" s="59"/>
      <c r="I146" s="59"/>
      <c r="J146" s="59"/>
      <c r="K146" s="6" t="s">
        <v>1866</v>
      </c>
      <c r="L146" s="6" t="s">
        <v>1930</v>
      </c>
      <c r="M146" s="6" t="s">
        <v>1931</v>
      </c>
      <c r="N146" s="6" t="s">
        <v>1932</v>
      </c>
      <c r="O146" s="6" t="s">
        <v>1933</v>
      </c>
      <c r="P146" s="6" t="s">
        <v>1934</v>
      </c>
      <c r="Q146" s="6" t="s">
        <v>1935</v>
      </c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7"/>
      <c r="AC146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46" s="67" t="str" cm="1">
        <f t="array" ref="AD14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6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7" spans="1:31" ht="72" customHeight="1" thickTop="1" thickBot="1" x14ac:dyDescent="0.45">
      <c r="A147" s="35">
        <v>46210</v>
      </c>
      <c r="B147" s="6" t="s">
        <v>1833</v>
      </c>
      <c r="C147" s="6" t="s">
        <v>1499</v>
      </c>
      <c r="D147" s="6" t="s">
        <v>1474</v>
      </c>
      <c r="E147" s="66" t="s">
        <v>702</v>
      </c>
      <c r="F147" s="59">
        <v>30000</v>
      </c>
      <c r="G147" s="59"/>
      <c r="H147" s="59"/>
      <c r="I147" s="59"/>
      <c r="J147" s="59"/>
      <c r="K147" s="6" t="s">
        <v>1936</v>
      </c>
      <c r="L147" s="6" t="s">
        <v>1937</v>
      </c>
      <c r="M147" s="6" t="s">
        <v>1938</v>
      </c>
      <c r="N147" s="6" t="s">
        <v>1939</v>
      </c>
      <c r="O147" s="6" t="s">
        <v>1940</v>
      </c>
      <c r="P147" s="6" t="s">
        <v>1941</v>
      </c>
      <c r="Q147" s="6" t="s">
        <v>1942</v>
      </c>
      <c r="R147" s="6" t="s">
        <v>1943</v>
      </c>
      <c r="S147" s="6" t="s">
        <v>1938</v>
      </c>
      <c r="T147" s="6"/>
      <c r="U147" s="6"/>
      <c r="V147" s="6"/>
      <c r="W147" s="6"/>
      <c r="X147" s="6"/>
      <c r="Y147" s="6"/>
      <c r="Z147" s="6"/>
      <c r="AA147" s="6"/>
      <c r="AB147" s="67"/>
      <c r="AC147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147" s="67" t="str" cm="1">
        <f t="array" ref="AD14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7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8" spans="1:31" ht="72" customHeight="1" thickTop="1" thickBot="1" x14ac:dyDescent="0.45">
      <c r="A148" s="35">
        <v>46215</v>
      </c>
      <c r="B148" s="6" t="s">
        <v>1833</v>
      </c>
      <c r="C148" s="6" t="s">
        <v>1499</v>
      </c>
      <c r="D148" s="6" t="s">
        <v>1474</v>
      </c>
      <c r="E148" s="66" t="s">
        <v>702</v>
      </c>
      <c r="F148" s="59"/>
      <c r="G148" s="59"/>
      <c r="H148" s="59"/>
      <c r="I148" s="59"/>
      <c r="J148" s="59"/>
      <c r="K148" s="6" t="s">
        <v>1944</v>
      </c>
      <c r="L148" s="6" t="s">
        <v>1927</v>
      </c>
      <c r="M148" s="6" t="s">
        <v>1945</v>
      </c>
      <c r="N148" s="6" t="s">
        <v>1946</v>
      </c>
      <c r="O148" s="6" t="s">
        <v>1947</v>
      </c>
      <c r="P148" s="6" t="s">
        <v>1948</v>
      </c>
      <c r="Q148" s="6" t="s">
        <v>1949</v>
      </c>
      <c r="R148" s="6" t="s">
        <v>1950</v>
      </c>
      <c r="S148" s="6" t="s">
        <v>1951</v>
      </c>
      <c r="T148" s="6"/>
      <c r="U148" s="6"/>
      <c r="V148" s="6"/>
      <c r="W148" s="6"/>
      <c r="X148" s="6"/>
      <c r="Y148" s="6"/>
      <c r="Z148" s="6"/>
      <c r="AA148" s="6"/>
      <c r="AB148" s="67"/>
      <c r="AC148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48" s="67" t="str" cm="1">
        <f t="array" ref="AD14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48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9" spans="1:31" ht="72" customHeight="1" thickTop="1" thickBot="1" x14ac:dyDescent="0.45">
      <c r="A149" s="35">
        <v>46217</v>
      </c>
      <c r="B149" s="6" t="s">
        <v>1833</v>
      </c>
      <c r="C149" s="6" t="s">
        <v>1484</v>
      </c>
      <c r="D149" s="6" t="s">
        <v>1474</v>
      </c>
      <c r="E149" s="66" t="s">
        <v>1953</v>
      </c>
      <c r="F149" s="59"/>
      <c r="G149" s="59">
        <v>1230000</v>
      </c>
      <c r="H149" s="59">
        <v>100</v>
      </c>
      <c r="I149" s="59"/>
      <c r="J149" s="59"/>
      <c r="K149" s="6" t="s">
        <v>1956</v>
      </c>
      <c r="L149" s="6" t="s">
        <v>1957</v>
      </c>
      <c r="M149" s="6" t="s">
        <v>1958</v>
      </c>
      <c r="N149" s="6" t="s">
        <v>1963</v>
      </c>
      <c r="O149" s="6" t="s">
        <v>3758</v>
      </c>
      <c r="P149" s="6" t="s">
        <v>1959</v>
      </c>
      <c r="Q149" s="6" t="s">
        <v>1960</v>
      </c>
      <c r="R149" s="6" t="s">
        <v>1961</v>
      </c>
      <c r="S149" s="6" t="s">
        <v>3759</v>
      </c>
      <c r="T149" s="6" t="s">
        <v>1829</v>
      </c>
      <c r="U149" s="6" t="s">
        <v>1962</v>
      </c>
      <c r="V149" s="6"/>
      <c r="W149" s="6"/>
      <c r="X149" s="6"/>
      <c r="Y149" s="6"/>
      <c r="Z149" s="6"/>
      <c r="AA149" s="6"/>
      <c r="AB149" s="67"/>
      <c r="AC149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11:11</v>
      </c>
      <c r="AD149" s="67" t="str" cm="1">
        <f t="array" ref="AD14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49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50" spans="1:31" ht="72" customHeight="1" thickTop="1" thickBot="1" x14ac:dyDescent="0.45">
      <c r="A150" s="35">
        <v>46219</v>
      </c>
      <c r="B150" s="6" t="s">
        <v>1833</v>
      </c>
      <c r="C150" s="6" t="s">
        <v>139</v>
      </c>
      <c r="D150" s="6" t="s">
        <v>1534</v>
      </c>
      <c r="E150" s="66" t="s">
        <v>249</v>
      </c>
      <c r="F150" s="59"/>
      <c r="G150" s="59"/>
      <c r="H150" s="59"/>
      <c r="I150" s="59"/>
      <c r="J150" s="59"/>
      <c r="K150" s="6" t="s">
        <v>1964</v>
      </c>
      <c r="L150" s="6" t="s">
        <v>1965</v>
      </c>
      <c r="M150" s="6" t="s">
        <v>1966</v>
      </c>
      <c r="N150" s="6" t="s">
        <v>1967</v>
      </c>
      <c r="O150" s="6" t="s">
        <v>1968</v>
      </c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7"/>
      <c r="AC150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150" s="67" t="str" cm="1">
        <f t="array" ref="AD15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0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1" spans="1:31" ht="72" customHeight="1" thickTop="1" thickBot="1" x14ac:dyDescent="0.45">
      <c r="A151" s="35">
        <v>46219</v>
      </c>
      <c r="B151" s="6" t="s">
        <v>1833</v>
      </c>
      <c r="C151" s="6" t="s">
        <v>1762</v>
      </c>
      <c r="D151" s="6" t="s">
        <v>1534</v>
      </c>
      <c r="E151" s="66" t="s">
        <v>249</v>
      </c>
      <c r="F151" s="59"/>
      <c r="G151" s="59"/>
      <c r="H151" s="59"/>
      <c r="I151" s="59"/>
      <c r="J151" s="59"/>
      <c r="K151" s="6" t="s">
        <v>1969</v>
      </c>
      <c r="L151" s="6" t="s">
        <v>1970</v>
      </c>
      <c r="M151" s="6" t="s">
        <v>1971</v>
      </c>
      <c r="N151" s="6" t="s">
        <v>1972</v>
      </c>
      <c r="O151" s="6" t="s">
        <v>1973</v>
      </c>
      <c r="P151" s="6" t="s">
        <v>1974</v>
      </c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7"/>
      <c r="AC151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151" s="67" t="str" cm="1">
        <f t="array" ref="AD15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51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2" spans="1:31" ht="72" customHeight="1" thickTop="1" thickBot="1" x14ac:dyDescent="0.45">
      <c r="A152" s="35">
        <v>46219</v>
      </c>
      <c r="B152" s="6" t="s">
        <v>1833</v>
      </c>
      <c r="C152" s="6" t="s">
        <v>1084</v>
      </c>
      <c r="D152" s="6" t="s">
        <v>1534</v>
      </c>
      <c r="E152" s="66" t="s">
        <v>249</v>
      </c>
      <c r="F152" s="59"/>
      <c r="G152" s="59"/>
      <c r="H152" s="59"/>
      <c r="I152" s="59"/>
      <c r="J152" s="59"/>
      <c r="K152" s="6" t="s">
        <v>1975</v>
      </c>
      <c r="L152" s="6" t="s">
        <v>1976</v>
      </c>
      <c r="M152" s="6" t="s">
        <v>1977</v>
      </c>
      <c r="N152" s="6" t="s">
        <v>1978</v>
      </c>
      <c r="O152" s="6" t="s">
        <v>1979</v>
      </c>
      <c r="P152" s="6" t="s">
        <v>1546</v>
      </c>
      <c r="Q152" s="6" t="s">
        <v>1980</v>
      </c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7"/>
      <c r="AC152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52" s="67" t="str" cm="1">
        <f t="array" ref="AD15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2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3" spans="1:31" ht="72" customHeight="1" thickTop="1" thickBot="1" x14ac:dyDescent="0.45">
      <c r="A153" s="35">
        <v>46220</v>
      </c>
      <c r="B153" s="6" t="s">
        <v>1833</v>
      </c>
      <c r="C153" s="6" t="s">
        <v>1080</v>
      </c>
      <c r="D153" s="6" t="s">
        <v>1534</v>
      </c>
      <c r="E153" s="66" t="s">
        <v>249</v>
      </c>
      <c r="F153" s="59"/>
      <c r="G153" s="59"/>
      <c r="H153" s="59"/>
      <c r="I153" s="59"/>
      <c r="J153" s="59"/>
      <c r="K153" s="6" t="s">
        <v>1605</v>
      </c>
      <c r="L153" s="6" t="s">
        <v>1981</v>
      </c>
      <c r="M153" s="6" t="s">
        <v>1982</v>
      </c>
      <c r="N153" s="6" t="s">
        <v>1983</v>
      </c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7"/>
      <c r="AC153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4:0</v>
      </c>
      <c r="AD153" s="67" t="str" cm="1">
        <f t="array" ref="AD15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53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4" spans="1:31" ht="72" customHeight="1" thickTop="1" thickBot="1" x14ac:dyDescent="0.45">
      <c r="A154" s="35">
        <v>46220</v>
      </c>
      <c r="B154" s="6" t="s">
        <v>1833</v>
      </c>
      <c r="C154" s="6" t="s">
        <v>128</v>
      </c>
      <c r="D154" s="6" t="s">
        <v>1534</v>
      </c>
      <c r="E154" s="66" t="s">
        <v>249</v>
      </c>
      <c r="F154" s="59"/>
      <c r="G154" s="59"/>
      <c r="H154" s="59"/>
      <c r="I154" s="59"/>
      <c r="J154" s="59"/>
      <c r="K154" s="6" t="s">
        <v>1984</v>
      </c>
      <c r="L154" s="6" t="s">
        <v>1985</v>
      </c>
      <c r="M154" s="6" t="s">
        <v>1986</v>
      </c>
      <c r="N154" s="6" t="s">
        <v>1987</v>
      </c>
      <c r="O154" s="6" t="s">
        <v>1988</v>
      </c>
      <c r="P154" s="6" t="s">
        <v>1989</v>
      </c>
      <c r="Q154" s="6" t="s">
        <v>1935</v>
      </c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7"/>
      <c r="AC154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54" s="67" t="str" cm="1">
        <f t="array" ref="AD15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54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5" spans="1:31" ht="72" customHeight="1" thickTop="1" thickBot="1" x14ac:dyDescent="0.45">
      <c r="A155" s="35">
        <v>46221</v>
      </c>
      <c r="B155" s="6" t="s">
        <v>1833</v>
      </c>
      <c r="C155" s="6" t="s">
        <v>1104</v>
      </c>
      <c r="D155" s="6" t="s">
        <v>1534</v>
      </c>
      <c r="E155" s="66" t="s">
        <v>226</v>
      </c>
      <c r="F155" s="59"/>
      <c r="G155" s="59"/>
      <c r="H155" s="59"/>
      <c r="I155" s="59"/>
      <c r="J155" s="59"/>
      <c r="K155" s="6" t="s">
        <v>1990</v>
      </c>
      <c r="L155" s="6" t="s">
        <v>1991</v>
      </c>
      <c r="M155" s="6" t="s">
        <v>1992</v>
      </c>
      <c r="N155" s="6" t="s">
        <v>1993</v>
      </c>
      <c r="O155" s="6"/>
      <c r="P155" s="6"/>
      <c r="Q155" s="6"/>
      <c r="R155" s="6" t="s">
        <v>1993</v>
      </c>
      <c r="S155" s="6" t="s">
        <v>1992</v>
      </c>
      <c r="T155" s="6" t="s">
        <v>1994</v>
      </c>
      <c r="U155" s="6"/>
      <c r="V155" s="6"/>
      <c r="W155" s="6"/>
      <c r="X155" s="6"/>
      <c r="Y155" s="6"/>
      <c r="Z155" s="6"/>
      <c r="AA155" s="6"/>
      <c r="AB155" s="67"/>
      <c r="AC155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6:1</v>
      </c>
      <c r="AD155" s="67" t="str" cm="1">
        <f t="array" ref="AD15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55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6" spans="1:31" ht="72" customHeight="1" thickTop="1" thickBot="1" x14ac:dyDescent="0.45">
      <c r="A156" s="35">
        <v>46223</v>
      </c>
      <c r="B156" s="6" t="s">
        <v>1833</v>
      </c>
      <c r="C156" s="6" t="s">
        <v>1085</v>
      </c>
      <c r="D156" s="6" t="s">
        <v>1534</v>
      </c>
      <c r="E156" s="66" t="s">
        <v>249</v>
      </c>
      <c r="F156" s="59">
        <v>36000</v>
      </c>
      <c r="G156" s="59"/>
      <c r="H156" s="59"/>
      <c r="I156" s="59"/>
      <c r="J156" s="59"/>
      <c r="K156" s="6" t="s">
        <v>1995</v>
      </c>
      <c r="L156" s="6" t="s">
        <v>1996</v>
      </c>
      <c r="M156" s="6" t="s">
        <v>1997</v>
      </c>
      <c r="N156" s="6" t="s">
        <v>1998</v>
      </c>
      <c r="O156" s="6" t="s">
        <v>1997</v>
      </c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7"/>
      <c r="AC156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156" s="67" t="str" cm="1">
        <f t="array" ref="AD15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6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7" spans="1:31" ht="72" customHeight="1" thickTop="1" thickBot="1" x14ac:dyDescent="0.45">
      <c r="A157" s="35">
        <v>46224</v>
      </c>
      <c r="B157" s="6" t="s">
        <v>1833</v>
      </c>
      <c r="C157" s="6" t="s">
        <v>1499</v>
      </c>
      <c r="D157" s="6" t="s">
        <v>1474</v>
      </c>
      <c r="E157" s="66" t="s">
        <v>226</v>
      </c>
      <c r="F157" s="59"/>
      <c r="G157" s="59"/>
      <c r="H157" s="59"/>
      <c r="I157" s="59"/>
      <c r="J157" s="59"/>
      <c r="K157" s="6" t="s">
        <v>1999</v>
      </c>
      <c r="L157" s="6" t="s">
        <v>2000</v>
      </c>
      <c r="M157" s="6" t="s">
        <v>2001</v>
      </c>
      <c r="N157" s="6" t="s">
        <v>2002</v>
      </c>
      <c r="O157" s="6"/>
      <c r="P157" s="6"/>
      <c r="Q157" s="6"/>
      <c r="R157" s="6" t="s">
        <v>2003</v>
      </c>
      <c r="S157" s="6" t="s">
        <v>2004</v>
      </c>
      <c r="T157" s="6" t="s">
        <v>2005</v>
      </c>
      <c r="U157" s="6" t="s">
        <v>2006</v>
      </c>
      <c r="V157" s="6"/>
      <c r="W157" s="6"/>
      <c r="X157" s="6"/>
      <c r="Y157" s="6"/>
      <c r="Z157" s="6"/>
      <c r="AA157" s="6" t="s">
        <v>2007</v>
      </c>
      <c r="AB157" s="67"/>
      <c r="AC157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57" s="67" t="str" cm="1">
        <f t="array" ref="AD15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57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8" spans="1:31" ht="72" customHeight="1" thickTop="1" thickBot="1" x14ac:dyDescent="0.45">
      <c r="A158" s="35">
        <v>46224</v>
      </c>
      <c r="B158" s="6" t="s">
        <v>1833</v>
      </c>
      <c r="C158" s="6" t="s">
        <v>1484</v>
      </c>
      <c r="D158" s="6" t="s">
        <v>1474</v>
      </c>
      <c r="E158" s="66" t="s">
        <v>249</v>
      </c>
      <c r="F158" s="59"/>
      <c r="G158" s="59"/>
      <c r="H158" s="59"/>
      <c r="I158" s="59"/>
      <c r="J158" s="59"/>
      <c r="K158" s="6" t="s">
        <v>2008</v>
      </c>
      <c r="L158" s="6" t="s">
        <v>2009</v>
      </c>
      <c r="M158" s="6" t="s">
        <v>2010</v>
      </c>
      <c r="N158" s="6" t="s">
        <v>2011</v>
      </c>
      <c r="O158" s="6" t="s">
        <v>2012</v>
      </c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7"/>
      <c r="AC158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158" s="67" t="str" cm="1">
        <f t="array" ref="AD15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58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59" spans="1:31" ht="72" customHeight="1" thickTop="1" thickBot="1" x14ac:dyDescent="0.45">
      <c r="A159" s="35">
        <v>46228</v>
      </c>
      <c r="B159" s="6" t="s">
        <v>1833</v>
      </c>
      <c r="C159" s="6" t="s">
        <v>1086</v>
      </c>
      <c r="D159" s="6" t="s">
        <v>1534</v>
      </c>
      <c r="E159" s="66" t="s">
        <v>249</v>
      </c>
      <c r="F159" s="59"/>
      <c r="G159" s="59"/>
      <c r="H159" s="59"/>
      <c r="I159" s="59"/>
      <c r="J159" s="59"/>
      <c r="K159" s="6" t="s">
        <v>2013</v>
      </c>
      <c r="L159" s="6" t="s">
        <v>2014</v>
      </c>
      <c r="M159" s="6" t="s">
        <v>2015</v>
      </c>
      <c r="N159" s="6" t="s">
        <v>2016</v>
      </c>
      <c r="O159" s="6" t="s">
        <v>2017</v>
      </c>
      <c r="P159" s="6" t="s">
        <v>2018</v>
      </c>
      <c r="Q159" s="6" t="s">
        <v>2019</v>
      </c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7"/>
      <c r="AC159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59" s="67" t="str" cm="1">
        <f t="array" ref="AD15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9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0" spans="1:31" ht="72" customHeight="1" thickTop="1" thickBot="1" x14ac:dyDescent="0.45">
      <c r="A160" s="35">
        <v>46229</v>
      </c>
      <c r="B160" s="6" t="s">
        <v>1833</v>
      </c>
      <c r="C160" s="6" t="s">
        <v>1086</v>
      </c>
      <c r="D160" s="6" t="s">
        <v>1534</v>
      </c>
      <c r="E160" s="66" t="s">
        <v>249</v>
      </c>
      <c r="F160" s="59"/>
      <c r="G160" s="59"/>
      <c r="H160" s="59"/>
      <c r="I160" s="59"/>
      <c r="J160" s="59"/>
      <c r="K160" s="6" t="s">
        <v>2017</v>
      </c>
      <c r="L160" s="6" t="s">
        <v>2020</v>
      </c>
      <c r="M160" s="6" t="s">
        <v>2021</v>
      </c>
      <c r="N160" s="6" t="s">
        <v>2022</v>
      </c>
      <c r="O160" s="6" t="s">
        <v>2023</v>
      </c>
      <c r="P160" s="6" t="s">
        <v>2024</v>
      </c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7"/>
      <c r="AC160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160" s="67" t="str" cm="1">
        <f t="array" ref="AD16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0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1" spans="1:31" ht="72" customHeight="1" thickTop="1" thickBot="1" x14ac:dyDescent="0.45">
      <c r="A161" s="35">
        <v>46230</v>
      </c>
      <c r="B161" s="6" t="s">
        <v>1833</v>
      </c>
      <c r="C161" s="6" t="s">
        <v>1085</v>
      </c>
      <c r="D161" s="6" t="s">
        <v>1534</v>
      </c>
      <c r="E161" s="66" t="s">
        <v>249</v>
      </c>
      <c r="F161" s="59"/>
      <c r="G161" s="59"/>
      <c r="H161" s="59"/>
      <c r="I161" s="59"/>
      <c r="J161" s="59"/>
      <c r="K161" s="6" t="s">
        <v>2025</v>
      </c>
      <c r="L161" s="6" t="s">
        <v>2026</v>
      </c>
      <c r="M161" s="6" t="s">
        <v>2003</v>
      </c>
      <c r="N161" s="6" t="s">
        <v>2027</v>
      </c>
      <c r="O161" s="6" t="s">
        <v>2028</v>
      </c>
      <c r="P161" s="6" t="s">
        <v>2029</v>
      </c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7"/>
      <c r="AC161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2:4</v>
      </c>
      <c r="AD161" s="67" t="str" cm="1">
        <f t="array" ref="AD16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61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2" spans="1:31" ht="72" customHeight="1" thickTop="1" thickBot="1" x14ac:dyDescent="0.45">
      <c r="A162" s="35">
        <v>46230</v>
      </c>
      <c r="B162" s="6" t="s">
        <v>1833</v>
      </c>
      <c r="C162" s="6" t="s">
        <v>1108</v>
      </c>
      <c r="D162" s="6" t="s">
        <v>1534</v>
      </c>
      <c r="E162" s="66" t="s">
        <v>702</v>
      </c>
      <c r="F162" s="59"/>
      <c r="G162" s="59"/>
      <c r="H162" s="59"/>
      <c r="I162" s="59"/>
      <c r="J162" s="59"/>
      <c r="K162" s="6" t="s">
        <v>2030</v>
      </c>
      <c r="L162" s="6" t="s">
        <v>1561</v>
      </c>
      <c r="M162" s="6" t="s">
        <v>2031</v>
      </c>
      <c r="N162" s="6" t="s">
        <v>2032</v>
      </c>
      <c r="O162" s="6" t="s">
        <v>2033</v>
      </c>
      <c r="P162" s="6" t="s">
        <v>2034</v>
      </c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7"/>
      <c r="AC162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5:1</v>
      </c>
      <c r="AD162" s="67" t="str" cm="1">
        <f t="array" ref="AD16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2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3" spans="1:31" ht="72" customHeight="1" thickTop="1" thickBot="1" x14ac:dyDescent="0.45">
      <c r="A163" s="35">
        <v>46231</v>
      </c>
      <c r="B163" s="6" t="s">
        <v>1833</v>
      </c>
      <c r="C163" s="6" t="s">
        <v>1080</v>
      </c>
      <c r="D163" s="6" t="s">
        <v>1534</v>
      </c>
      <c r="E163" s="66" t="s">
        <v>249</v>
      </c>
      <c r="F163" s="59"/>
      <c r="G163" s="59"/>
      <c r="H163" s="59"/>
      <c r="I163" s="59"/>
      <c r="J163" s="59"/>
      <c r="K163" s="6" t="s">
        <v>2035</v>
      </c>
      <c r="L163" s="6" t="s">
        <v>2036</v>
      </c>
      <c r="M163" s="6" t="s">
        <v>2037</v>
      </c>
      <c r="N163" s="6" t="s">
        <v>2038</v>
      </c>
      <c r="O163" s="6" t="s">
        <v>2039</v>
      </c>
      <c r="P163" s="6" t="s">
        <v>2040</v>
      </c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7"/>
      <c r="AC163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163" s="67" t="str" cm="1">
        <f t="array" ref="AD16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3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4" spans="1:31" ht="72" customHeight="1" thickTop="1" thickBot="1" x14ac:dyDescent="0.45">
      <c r="A164" s="35">
        <v>46231</v>
      </c>
      <c r="B164" s="6" t="s">
        <v>1833</v>
      </c>
      <c r="C164" s="6" t="s">
        <v>1084</v>
      </c>
      <c r="D164" s="6" t="s">
        <v>1534</v>
      </c>
      <c r="E164" s="66" t="s">
        <v>249</v>
      </c>
      <c r="F164" s="59"/>
      <c r="G164" s="59"/>
      <c r="H164" s="59"/>
      <c r="I164" s="59"/>
      <c r="J164" s="59"/>
      <c r="K164" s="6" t="s">
        <v>2041</v>
      </c>
      <c r="L164" s="6" t="s">
        <v>2042</v>
      </c>
      <c r="M164" s="6" t="s">
        <v>2043</v>
      </c>
      <c r="N164" s="6" t="s">
        <v>1978</v>
      </c>
      <c r="O164" s="6" t="s">
        <v>2044</v>
      </c>
      <c r="P164" s="6" t="s">
        <v>2045</v>
      </c>
      <c r="Q164" s="6" t="s">
        <v>2046</v>
      </c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7"/>
      <c r="AC164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64" s="67" t="str" cm="1">
        <f t="array" ref="AD16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64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5" spans="1:31" ht="72" customHeight="1" thickTop="1" thickBot="1" x14ac:dyDescent="0.45">
      <c r="A165" s="35">
        <v>46232</v>
      </c>
      <c r="B165" s="6" t="s">
        <v>1833</v>
      </c>
      <c r="C165" s="6" t="s">
        <v>1395</v>
      </c>
      <c r="D165" s="6" t="s">
        <v>1534</v>
      </c>
      <c r="E165" s="66" t="s">
        <v>249</v>
      </c>
      <c r="F165" s="59"/>
      <c r="G165" s="59"/>
      <c r="H165" s="59"/>
      <c r="I165" s="59"/>
      <c r="J165" s="59"/>
      <c r="K165" s="6" t="s">
        <v>2047</v>
      </c>
      <c r="L165" s="6" t="s">
        <v>2048</v>
      </c>
      <c r="M165" s="6" t="s">
        <v>2049</v>
      </c>
      <c r="N165" s="6" t="s">
        <v>2050</v>
      </c>
      <c r="O165" s="6" t="s">
        <v>1905</v>
      </c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7"/>
      <c r="AC165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5:0</v>
      </c>
      <c r="AD165" s="67" t="str" cm="1">
        <f t="array" ref="AD16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5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6" spans="1:31" ht="72" customHeight="1" thickTop="1" thickBot="1" x14ac:dyDescent="0.45">
      <c r="A166" s="35">
        <v>46232</v>
      </c>
      <c r="B166" s="6" t="s">
        <v>1833</v>
      </c>
      <c r="C166" s="6" t="s">
        <v>128</v>
      </c>
      <c r="D166" s="6" t="s">
        <v>1534</v>
      </c>
      <c r="E166" s="66" t="s">
        <v>249</v>
      </c>
      <c r="F166" s="59"/>
      <c r="G166" s="59"/>
      <c r="H166" s="59"/>
      <c r="I166" s="59"/>
      <c r="J166" s="59"/>
      <c r="K166" s="6" t="s">
        <v>2051</v>
      </c>
      <c r="L166" s="6" t="s">
        <v>2052</v>
      </c>
      <c r="M166" s="6" t="s">
        <v>1985</v>
      </c>
      <c r="N166" s="6" t="s">
        <v>2053</v>
      </c>
      <c r="O166" s="6" t="s">
        <v>1933</v>
      </c>
      <c r="P166" s="6" t="s">
        <v>2054</v>
      </c>
      <c r="Q166" s="6" t="s">
        <v>1544</v>
      </c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7"/>
      <c r="AC166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66" s="67" t="str" cm="1">
        <f t="array" ref="AD16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6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7" spans="1:31" ht="72" customHeight="1" thickTop="1" thickBot="1" x14ac:dyDescent="0.45">
      <c r="A167" s="35">
        <v>46233</v>
      </c>
      <c r="B167" s="6" t="s">
        <v>1833</v>
      </c>
      <c r="C167" s="6" t="s">
        <v>133</v>
      </c>
      <c r="D167" s="6" t="s">
        <v>1534</v>
      </c>
      <c r="E167" s="66" t="s">
        <v>702</v>
      </c>
      <c r="F167" s="59"/>
      <c r="G167" s="59"/>
      <c r="H167" s="59"/>
      <c r="I167" s="59"/>
      <c r="J167" s="59"/>
      <c r="K167" s="6" t="s">
        <v>2055</v>
      </c>
      <c r="L167" s="6" t="s">
        <v>2056</v>
      </c>
      <c r="M167" s="6" t="s">
        <v>2057</v>
      </c>
      <c r="N167" s="6" t="s">
        <v>2058</v>
      </c>
      <c r="O167" s="6" t="s">
        <v>2059</v>
      </c>
      <c r="P167" s="6" t="s">
        <v>2060</v>
      </c>
      <c r="Q167" s="6" t="s">
        <v>2061</v>
      </c>
      <c r="R167" s="6" t="s">
        <v>2062</v>
      </c>
      <c r="S167" s="6"/>
      <c r="T167" s="6"/>
      <c r="U167" s="6"/>
      <c r="V167" s="6"/>
      <c r="W167" s="6"/>
      <c r="X167" s="6"/>
      <c r="Y167" s="6"/>
      <c r="Z167" s="6"/>
      <c r="AA167" s="6"/>
      <c r="AB167" s="67"/>
      <c r="AC167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67" s="67" t="str" cm="1">
        <f t="array" ref="AD16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7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8" spans="1:31" ht="72" customHeight="1" thickTop="1" thickBot="1" x14ac:dyDescent="0.45">
      <c r="A168" s="35">
        <v>46234</v>
      </c>
      <c r="B168" s="6" t="s">
        <v>1833</v>
      </c>
      <c r="C168" s="6" t="s">
        <v>1750</v>
      </c>
      <c r="D168" s="6" t="s">
        <v>1534</v>
      </c>
      <c r="E168" s="66" t="s">
        <v>249</v>
      </c>
      <c r="F168" s="59"/>
      <c r="G168" s="59"/>
      <c r="H168" s="59"/>
      <c r="I168" s="59"/>
      <c r="J168" s="59">
        <v>20000</v>
      </c>
      <c r="K168" s="6" t="s">
        <v>2063</v>
      </c>
      <c r="L168" s="6" t="s">
        <v>2064</v>
      </c>
      <c r="M168" s="6" t="s">
        <v>2065</v>
      </c>
      <c r="N168" s="6" t="s">
        <v>2066</v>
      </c>
      <c r="O168" s="6" t="s">
        <v>1910</v>
      </c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7"/>
      <c r="AC168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168" s="67" t="str" cm="1">
        <f t="array" ref="AD16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8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9" spans="1:31" ht="72" customHeight="1" thickTop="1" thickBot="1" x14ac:dyDescent="0.45">
      <c r="A169" s="35">
        <v>46234</v>
      </c>
      <c r="B169" s="6" t="s">
        <v>1833</v>
      </c>
      <c r="C169" s="6" t="s">
        <v>1085</v>
      </c>
      <c r="D169" s="6" t="s">
        <v>1534</v>
      </c>
      <c r="E169" s="66" t="s">
        <v>702</v>
      </c>
      <c r="F169" s="59"/>
      <c r="G169" s="59"/>
      <c r="H169" s="59"/>
      <c r="I169" s="59"/>
      <c r="J169" s="59"/>
      <c r="K169" s="6" t="s">
        <v>2067</v>
      </c>
      <c r="L169" s="6" t="s">
        <v>2068</v>
      </c>
      <c r="M169" s="6" t="s">
        <v>2069</v>
      </c>
      <c r="N169" s="6" t="s">
        <v>1998</v>
      </c>
      <c r="O169" s="6" t="s">
        <v>2003</v>
      </c>
      <c r="P169" s="6" t="s">
        <v>2070</v>
      </c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7"/>
      <c r="AC169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5:1</v>
      </c>
      <c r="AD169" s="67" t="str" cm="1">
        <f t="array" ref="AD16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9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0" spans="1:31" ht="72" customHeight="1" thickTop="1" thickBot="1" x14ac:dyDescent="0.45">
      <c r="A170" s="35">
        <v>46234</v>
      </c>
      <c r="B170" s="6" t="s">
        <v>1833</v>
      </c>
      <c r="C170" s="6" t="s">
        <v>1084</v>
      </c>
      <c r="D170" s="6" t="s">
        <v>1534</v>
      </c>
      <c r="E170" s="66" t="s">
        <v>1903</v>
      </c>
      <c r="F170" s="59"/>
      <c r="G170" s="59"/>
      <c r="H170" s="59"/>
      <c r="I170" s="59"/>
      <c r="J170" s="59"/>
      <c r="K170" s="6" t="s">
        <v>2045</v>
      </c>
      <c r="L170" s="6" t="s">
        <v>2071</v>
      </c>
      <c r="M170" s="6" t="s">
        <v>2041</v>
      </c>
      <c r="N170" s="6" t="s">
        <v>2072</v>
      </c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7"/>
      <c r="AC170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1:3</v>
      </c>
      <c r="AD170" s="67" t="str" cm="1">
        <f t="array" ref="AD17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70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71" spans="1:31" ht="72" customHeight="1" thickTop="1" thickBot="1" x14ac:dyDescent="0.45">
      <c r="A171" s="35">
        <v>46237</v>
      </c>
      <c r="B171" s="6" t="s">
        <v>1833</v>
      </c>
      <c r="C171" s="6" t="s">
        <v>1484</v>
      </c>
      <c r="D171" s="6" t="s">
        <v>1474</v>
      </c>
      <c r="E171" s="66" t="s">
        <v>702</v>
      </c>
      <c r="F171" s="59"/>
      <c r="G171" s="59">
        <v>380000</v>
      </c>
      <c r="H171" s="59"/>
      <c r="I171" s="59"/>
      <c r="J171" s="59"/>
      <c r="K171" s="6" t="s">
        <v>2073</v>
      </c>
      <c r="L171" s="6" t="s">
        <v>2074</v>
      </c>
      <c r="M171" s="6" t="s">
        <v>1816</v>
      </c>
      <c r="N171" s="6" t="s">
        <v>2075</v>
      </c>
      <c r="O171" s="6" t="s">
        <v>2076</v>
      </c>
      <c r="P171" s="6" t="s">
        <v>2077</v>
      </c>
      <c r="Q171" s="6" t="s">
        <v>2078</v>
      </c>
      <c r="R171" s="6" t="s">
        <v>2079</v>
      </c>
      <c r="S171" s="6"/>
      <c r="T171" s="6"/>
      <c r="U171" s="6"/>
      <c r="V171" s="6"/>
      <c r="W171" s="6"/>
      <c r="X171" s="6"/>
      <c r="Y171" s="6"/>
      <c r="Z171" s="6"/>
      <c r="AA171" s="6"/>
      <c r="AB171" s="67"/>
      <c r="AC171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8:8</v>
      </c>
      <c r="AD171" s="67" t="str" cm="1">
        <f t="array" ref="AD17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71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72" spans="1:31" ht="72" customHeight="1" thickTop="1" thickBot="1" x14ac:dyDescent="0.45">
      <c r="A172" s="35">
        <v>46238</v>
      </c>
      <c r="B172" s="6" t="s">
        <v>1833</v>
      </c>
      <c r="C172" s="6" t="s">
        <v>128</v>
      </c>
      <c r="D172" s="6" t="s">
        <v>1474</v>
      </c>
      <c r="E172" s="66" t="s">
        <v>1952</v>
      </c>
      <c r="F172" s="59"/>
      <c r="G172" s="59"/>
      <c r="H172" s="59"/>
      <c r="I172" s="59"/>
      <c r="J172" s="59"/>
      <c r="K172" s="6" t="s">
        <v>2080</v>
      </c>
      <c r="L172" s="6" t="s">
        <v>2081</v>
      </c>
      <c r="M172" s="6" t="s">
        <v>1985</v>
      </c>
      <c r="N172" s="6" t="s">
        <v>2082</v>
      </c>
      <c r="O172" s="6" t="s">
        <v>2083</v>
      </c>
      <c r="P172" s="6" t="s">
        <v>2052</v>
      </c>
      <c r="Q172" s="6" t="s">
        <v>2084</v>
      </c>
      <c r="R172" s="6" t="s">
        <v>1935</v>
      </c>
      <c r="S172" s="6" t="s">
        <v>2085</v>
      </c>
      <c r="T172" s="6" t="s">
        <v>2086</v>
      </c>
      <c r="U172" s="6"/>
      <c r="V172" s="6"/>
      <c r="W172" s="6"/>
      <c r="X172" s="6"/>
      <c r="Y172" s="6"/>
      <c r="Z172" s="6"/>
      <c r="AA172" s="6"/>
      <c r="AB172" s="67"/>
      <c r="AC172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7:3</v>
      </c>
      <c r="AD172" s="67" t="str" cm="1">
        <f t="array" ref="AD17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72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3" spans="1:31" ht="72" customHeight="1" thickTop="1" thickBot="1" x14ac:dyDescent="0.45">
      <c r="A173" s="35">
        <v>46242</v>
      </c>
      <c r="B173" s="6" t="s">
        <v>1833</v>
      </c>
      <c r="C173" s="6" t="s">
        <v>1080</v>
      </c>
      <c r="D173" s="6" t="s">
        <v>1660</v>
      </c>
      <c r="E173" s="66" t="s">
        <v>702</v>
      </c>
      <c r="F173" s="59"/>
      <c r="G173" s="59"/>
      <c r="H173" s="59"/>
      <c r="I173" s="59"/>
      <c r="J173" s="59"/>
      <c r="K173" s="6" t="s">
        <v>2087</v>
      </c>
      <c r="L173" s="6" t="s">
        <v>2088</v>
      </c>
      <c r="M173" s="6" t="s">
        <v>1981</v>
      </c>
      <c r="N173" s="6" t="s">
        <v>2089</v>
      </c>
      <c r="O173" s="6" t="s">
        <v>2090</v>
      </c>
      <c r="P173" s="6" t="s">
        <v>2091</v>
      </c>
      <c r="Q173" s="6" t="s">
        <v>2092</v>
      </c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7"/>
      <c r="AC173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73" s="67" t="str" cm="1">
        <f t="array" ref="AD17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73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4" spans="1:31" ht="72" customHeight="1" thickTop="1" thickBot="1" x14ac:dyDescent="0.45">
      <c r="A174" s="35">
        <v>46250</v>
      </c>
      <c r="B174" s="6" t="s">
        <v>1833</v>
      </c>
      <c r="C174" s="6" t="s">
        <v>1395</v>
      </c>
      <c r="D174" s="6" t="s">
        <v>1660</v>
      </c>
      <c r="E174" s="66" t="s">
        <v>702</v>
      </c>
      <c r="F174" s="59"/>
      <c r="G174" s="59"/>
      <c r="H174" s="59"/>
      <c r="I174" s="59"/>
      <c r="J174" s="59"/>
      <c r="K174" s="6" t="s">
        <v>2095</v>
      </c>
      <c r="L174" s="6" t="s">
        <v>2096</v>
      </c>
      <c r="M174" s="6" t="s">
        <v>2097</v>
      </c>
      <c r="N174" s="6" t="s">
        <v>2098</v>
      </c>
      <c r="O174" s="6" t="s">
        <v>2099</v>
      </c>
      <c r="P174" s="6" t="s">
        <v>2100</v>
      </c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7"/>
      <c r="AC174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5:1</v>
      </c>
      <c r="AD174" s="67" t="str" cm="1">
        <f t="array" ref="AD17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74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5" spans="1:31" ht="72" customHeight="1" thickTop="1" thickBot="1" x14ac:dyDescent="0.45">
      <c r="A175" s="61">
        <v>46264</v>
      </c>
      <c r="B175" s="3" t="s">
        <v>1833</v>
      </c>
      <c r="C175" s="3" t="s">
        <v>3760</v>
      </c>
      <c r="D175" s="3" t="s">
        <v>1534</v>
      </c>
      <c r="AC175" s="51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5" s="51" t="str" cm="1">
        <f t="array" ref="AD17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75" s="5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76" spans="1:31" ht="72" customHeight="1" thickTop="1" thickBot="1" x14ac:dyDescent="0.45">
      <c r="A176" s="61">
        <v>46264</v>
      </c>
      <c r="B176" s="3" t="s">
        <v>1833</v>
      </c>
      <c r="C176" s="3" t="s">
        <v>3761</v>
      </c>
      <c r="D176" s="3" t="s">
        <v>1534</v>
      </c>
      <c r="AC176" s="51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6" s="51" t="str" cm="1">
        <f t="array" ref="AD17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76" s="5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77" spans="1:31" ht="72" customHeight="1" thickTop="1" thickBot="1" x14ac:dyDescent="0.45">
      <c r="A177" s="61">
        <v>46265</v>
      </c>
      <c r="B177" s="3" t="s">
        <v>1833</v>
      </c>
      <c r="AC177" s="51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7" s="51" t="str" cm="1">
        <f t="array" ref="AD17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77" s="5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78" spans="1:31" ht="72" customHeight="1" thickTop="1" thickBot="1" x14ac:dyDescent="0.45">
      <c r="A178" s="35">
        <v>46269</v>
      </c>
      <c r="B178" s="6" t="s">
        <v>1833</v>
      </c>
      <c r="C178" s="6" t="s">
        <v>3751</v>
      </c>
      <c r="D178" s="6" t="s">
        <v>1660</v>
      </c>
      <c r="E178" s="66" t="s">
        <v>702</v>
      </c>
      <c r="F178" s="59"/>
      <c r="G178" s="59"/>
      <c r="H178" s="59"/>
      <c r="I178" s="59"/>
      <c r="J178" s="59"/>
      <c r="K178" s="6" t="s">
        <v>3753</v>
      </c>
      <c r="L178" s="6" t="s">
        <v>1739</v>
      </c>
      <c r="M178" s="6" t="s">
        <v>3754</v>
      </c>
      <c r="N178" s="6" t="s">
        <v>3755</v>
      </c>
      <c r="O178" s="6" t="s">
        <v>3756</v>
      </c>
      <c r="P178" s="6" t="s">
        <v>3757</v>
      </c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7"/>
      <c r="AC178" s="67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1:5</v>
      </c>
      <c r="AD178" s="67" t="str" cm="1">
        <f t="array" ref="AD17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78" s="68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</sheetData>
  <phoneticPr fontId="1" type="noConversion"/>
  <dataValidations count="3">
    <dataValidation type="list" allowBlank="1" showInputMessage="1" showErrorMessage="1" sqref="B2:B178" xr:uid="{D6C40DF4-ECD7-4B47-A80E-131DE346661D}">
      <formula1>"시즌1,시즌2,시즌3,시즌4,시즌5,캄몬1"</formula1>
    </dataValidation>
    <dataValidation type="list" allowBlank="1" showInputMessage="1" showErrorMessage="1" sqref="E2:E178" xr:uid="{2F257C66-884A-465E-833A-F4849D2EC869}">
      <formula1>"5/3 5/3 슈에,5/3,7/4,9/5,11/6,13/7,5/3 7/4 슈에,7/4 5/3 슈에,7/4 7/4 슈에,7/4 9/5 슈에"</formula1>
    </dataValidation>
    <dataValidation type="list" allowBlank="1" showInputMessage="1" showErrorMessage="1" sqref="D2:D178" xr:uid="{668F0086-1A1A-4C98-8C44-718CB080C166}">
      <formula1>"대회,대학,미니,CK"</formula1>
    </dataValidation>
  </dataValidations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CD14A-8C90-4B3F-A400-E455D2CD0564}">
  <sheetPr codeName="Sheet07"/>
  <dimension ref="A1:M29"/>
  <sheetViews>
    <sheetView zoomScale="70" zoomScaleNormal="70" workbookViewId="0">
      <selection activeCell="M1" sqref="M1"/>
    </sheetView>
  </sheetViews>
  <sheetFormatPr defaultColWidth="15.69921875" defaultRowHeight="24" customHeight="1" thickTop="1" thickBottom="1" x14ac:dyDescent="0.45"/>
  <cols>
    <col min="1" max="1" width="15.69921875" style="15"/>
    <col min="2" max="8" width="21.69921875" style="3" customWidth="1"/>
    <col min="9" max="16384" width="15.69921875" style="3"/>
  </cols>
  <sheetData>
    <row r="1" spans="1:13" ht="24" customHeight="1" thickTop="1" thickBot="1" x14ac:dyDescent="0.45">
      <c r="A1" s="20" t="s">
        <v>943</v>
      </c>
      <c r="B1" s="21" t="s">
        <v>934</v>
      </c>
      <c r="C1" s="21" t="s">
        <v>935</v>
      </c>
      <c r="D1" s="21" t="s">
        <v>936</v>
      </c>
      <c r="E1" s="21" t="s">
        <v>937</v>
      </c>
      <c r="F1" s="21" t="s">
        <v>944</v>
      </c>
      <c r="G1" s="21" t="s">
        <v>945</v>
      </c>
      <c r="H1" s="22" t="s">
        <v>946</v>
      </c>
      <c r="I1" s="2"/>
      <c r="L1" s="8"/>
      <c r="M1" s="19" t="s">
        <v>2093</v>
      </c>
    </row>
    <row r="2" spans="1:13" ht="24" customHeight="1" thickTop="1" thickBot="1" x14ac:dyDescent="0.45">
      <c r="A2" s="27" t="str" cm="1">
        <f t="array" ref="A2:A27">_xlfn.LET(
  _xlpm.SLSN, $M$1,
  _xlpm.ALLS, _xlpm.SLSN="전체",
  _xlpm.OPPS, 전적[상대팀],
  _xlpm.COND, IF(_xlpm.ALLS, (_xlpm.OPPS&lt;&gt;"내전")*(_xlpm.OPPS&lt;&gt;""), (전적[시즌]=_xlpm.SLSN)*(_xlpm.OPPS&lt;&gt;"내전")*(_xlpm.OPPS&lt;&gt;"")),
  _xlpm.LIST, _xlfn.UNIQUE(_xlfn._xlws.FILTER(_xlpm.OPPS, _xlpm.COND, "")),
  _xlpm.SRTE, IF(COUNTA(_xlpm.LIST)=0, _xlpm.LIST, _xlfn.SORTBY(_xlpm.LIST, --(_xlpm.LIST="연합팀"), -1)),
  _xlpm.RSLT, IF(COUNTA(_xlpm.SRTE)=0, _xlfn.VSTACK("전체",""), _xlfn.VSTACK("전체","", _xlpm.SRTE)),
  _xlpm.RSLT
)</f>
        <v>전체</v>
      </c>
      <c r="B2" s="14" t="str" cm="1">
        <f t="array" ref="B2:E27">_xlfn.LET(
  _xlpm.SLSN, $M$1,
  _xlpm.SCIT, IF(_xlpm.SLSN="전체","&lt;&gt;",_xlpm.SLSN),
  _xlpm.OPPS, 전적[상대팀],
  _xlpm.TYPE, 전적[형식],
  _xlpm.SEAS, 전적[시즌],
  _xlpm.RESU, 전적[최종 결과],
  _xlpm.INPT,_xlfn.ANCHORARRAY( $A2),
  _xlpm.TYPS, {"대회","대학","미니","CK"},
  _xlpm.ROWN, ROWS(_xlpm.INPT),
  _xlpm.COLD, COLUMNS(_xlpm.TYPS),
  _xlpm.ALLW, _xlfn.MAP(_xlpm.TYPS, _xlfn.LAMBDA(_xlpm.t, COUNTIFS(_xlpm.TYPE, _xlpm.t, _xlpm.SEAS, _xlpm.SCIT, _xlpm.RESU, "승"))),
  _xlpm.ALLL, _xlfn.MAP(_xlpm.TYPS, _xlfn.LAMBDA(_xlpm.t, COUNTIFS(_xlpm.TYPE, _xlpm.t, _xlpm.SEAS, _xlpm.SCIT, _xlpm.RESU, "패"))),
  _xlpm.MKCL, _xlfn.LAMBDA(_xlpm.r,_xlpm.c,
   _xlfn.LET(
    _xlpm.NAME, TRIM(INDEX(_xlpm.INPT, _xlpm.r)),
    _xlpm.TYPX, INDEX(_xlpm.TYPS, _xlpm.c),
    IF(_xlpm.NAME="","",
     _xlfn.LET(
      _xlpm.WINS, IF(_xlpm.NAME="전체", INDEX(_xlpm.ALLW, _xlpm.c), COUNTIFS(_xlpm.OPPS, _xlpm.NAME, _xlpm.TYPE, _xlpm.TYPX, _xlpm.SEAS, _xlpm.SCIT, _xlpm.RESU, "승")),
      _xlpm.LOSS, IF(_xlpm.NAME="전체", INDEX(_xlpm.ALLL, _xlpm.c), COUNTIFS(_xlpm.OPPS, _xlpm.NAME, _xlpm.TYPE, _xlpm.TYPX, _xlpm.SEAS, _xlpm.SCIT, _xlpm.RESU, "패")),
      _xlpm.TOTL, _xlpm.WINS + _xlpm.LOSS,
      IF(_xlpm.TOTL=0, "", _xlpm.WINS &amp; "승 " &amp; _xlpm.LOSS &amp; "패 (" &amp; TEXT(_xlpm.WINS / _xlpm.TOTL, "0.0%") &amp; ")"))))),
  _xlfn.MAKEARRAY(_xlpm.ROWN, _xlpm.COLD, _xlpm.MKCL)
)</f>
        <v>18승 10패 (64.3%)</v>
      </c>
      <c r="C2" s="14" t="str">
        <v>2승 10패 (16.7%)</v>
      </c>
      <c r="D2" s="14" t="str">
        <v>43승 32패 (57.3%)</v>
      </c>
      <c r="E2" s="14" t="str">
        <v>25승 22패 (53.2%)</v>
      </c>
      <c r="F2" s="14" t="str" cm="1">
        <f t="array" ref="F2:F27">_xlfn.LET(
  _xlpm.SLSN, $M$1,
  _xlpm.ALLS, _xlpm.SLSN="전체",
  _xlpm.OPPS, 전적[상대팀],
  _xlpm.FUND, 전적[펀딩],
  _xlpm.SEAS, 전적[시즌],
  _xlpm.RESU, 전적[최종 결과],
  _xlpm.INPT,_xlfn.ANCHORARRAY( $A2),
  _xlpm.MAPF, _xlfn.LAMBDA(_xlpm.RAWX,
   _xlfn.LET(
    _xlpm.NAME, TRIM(SUBSTITUTE(_xlpm.RAWX, CHAR(160), "")),
    IF(OR(_xlpm.NAME="", _xlpm.NAME="내전"), "",
     _xlfn.LET(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_xlfn.MAP(_xlpm.INPT, _xlpm.MAPF)
)</f>
        <v>1,100,200 / 3,659,700</v>
      </c>
      <c r="G2" s="14" t="str" cm="1">
        <f t="array" ref="G2:G27">_xlfn.LET(
  _xlpm.SLSN, $M$1,
  _xlpm.ALLS, _xlpm.SLSN="전체",
  _xlpm.OPPS, 전적[상대팀],
  _xlpm.FUND, 전적[지원금],
  _xlpm.SEAS, 전적[시즌],
  _xlpm.RESU, 전적[최종 결과],
  _xlpm.INPT,_xlfn.ANCHORARRAY( $A2),
  _xlpm.MAPF, _xlfn.LAMBDA(_xlpm.RAWX,
   _xlfn.LET(
    _xlpm.NAME, TRIM(SUBSTITUTE(_xlpm.RAWX, CHAR(160), "")),
    IF(OR(_xlpm.NAME="", _xlpm.NAME="내전"), "",
     _xlfn.LET(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_xlfn.MAP(_xlpm.INPT, _xlpm.MAPF)
)</f>
        <v>1,700 / 3,650</v>
      </c>
      <c r="H2" s="14" t="str" cm="1">
        <f t="array" ref="H2:H27">_xlfn.LET(
  _xlpm.SLSN, $M$1,
  _xlpm.ALLS, _xlpm.SLSN="전체",
  _xlpm.OPPS, 전적[상대팀],
  _xlpm.PUNG, 전적[사비(풍)],
  _xlpm.KONG, 전적[사비(콩)],
  _xlpm.SEAS, 전적[시즌],
  _xlpm.RESU, 전적[최종 결과],
  _xlpm.INPT,_xlfn.ANCHORARRAY( $A2),
  _xlpm.CWIN, "승",
  _xlpm.CLOS, "패",
  _xlpm.ALLC, IF(_xlpm.ALLS, COUNTA(_xlpm.OPPS), COUNTIFS(_xlpm.SEAS, _xlpm.SLSN)),
  _xlpm.BEMP, IF(_xlpm.ALLS, COUNTIFS(_xlpm.PUNG, "", _xlpm.KONG, ""), COUNTIFS(_xlpm.SEAS, _xlpm.SLSN, _xlpm.PUNG, "", _xlpm.KONG, "")),
  _xlpm.WPUN, IF(_xlpm.ALLS, SUMIFS(_xlpm.PUNG, _xlpm.RESU, _xlpm.CWIN), SUMIFS(_xlpm.PUNG, _xlpm.RESU, _xlpm.CWIN, _xlpm.SEAS, _xlpm.SLSN)),
  _xlpm.LPUN, IF(_xlpm.ALLS, SUMIFS(_xlpm.PUNG, _xlpm.RESU, _xlpm.CLOS), SUMIFS(_xlpm.PUNG, _xlpm.RESU, _xlpm.CLOS, _xlpm.SEAS, _xlpm.SLSN)),
  _xlpm.WKON, IF(_xlpm.ALLS, SUMIFS(_xlpm.KONG, _xlpm.RESU, _xlpm.CWIN), SUMIFS(_xlpm.KONG, _xlpm.RESU, _xlpm.CWIN, _xlpm.SEAS, _xlpm.SLSN)),
  _xlpm.LKON, IF(_xlpm.ALLS, SUMIFS(_xlpm.KONG, _xlpm.RESU, _xlpm.CLOS), SUMIFS(_xlpm.KONG, _xlpm.RESU, _xlpm.CLOS, _xlpm.SEAS, _xlpm.SLSN)),
  _xlpm.MAPF, _xlfn.LAMBDA(_xlpm.RAWX,
   _xlfn.LET(
    _xlpm.NMEX, TRIM(SUBSTITUTE(_xlpm.RAWX, CHAR(160), "")),
    IF(_xlpm.NMEX="","",
     _xlfn.LET(
      _xlpm.ISAL, _xlpm.NMEX="전체",
      _xlpm.ALNN, IF(_xlpm.ISAL, _xlpm.ALLC, IF(_xlpm.ALLS, COUNTIFS(_xlpm.OPPS, _xlpm.NMEX), COUNTIFS(_xlpm.OPPS, _xlpm.NMEX, _xlpm.SEAS, _xlpm.SLSN))),
      _xlpm.BTHR, IF(_xlpm.ISAL, _xlpm.BEMP, IF(_xlpm.ALLS, COUNTIFS(_xlpm.OPPS, _xlpm.NMEX, _xlpm.PUNG, "", _xlpm.KONG, ""), COUNTIFS(_xlpm.OPPS, _xlpm.NMEX, _xlpm.SEAS, _xlpm.SLSN, _xlpm.PUNG, "", _xlpm.KONG, ""))),
      _xlpm.WPRS, IF(_xlpm.ISAL, _xlpm.WPUN, IF(_xlpm.ALLS, SUMIFS(_xlpm.PUNG, _xlpm.OPPS, _xlpm.NMEX, _xlpm.RESU, _xlpm.CWIN), SUMIFS(_xlpm.PUNG, _xlpm.OPPS, _xlpm.NMEX, _xlpm.RESU, _xlpm.CWIN, _xlpm.SEAS, _xlpm.SLSN))),
      _xlpm.LPRS, IF(_xlpm.ISAL, _xlpm.LPUN, IF(_xlpm.ALLS, SUMIFS(_xlpm.PUNG, _xlpm.OPPS, _xlpm.NMEX, _xlpm.RESU, _xlpm.CLOS), SUMIFS(_xlpm.PUNG, _xlpm.OPPS, _xlpm.NMEX, _xlpm.RESU, _xlpm.CLOS, _xlpm.SEAS, _xlpm.SLSN))),
      _xlpm.WKRS, IF(_xlpm.ISAL, _xlpm.WKON, IF(_xlpm.ALLS, SUMIFS(_xlpm.KONG, _xlpm.OPPS, _xlpm.NMEX, _xlpm.RESU, _xlpm.CWIN), SUMIFS(_xlpm.KONG, _xlpm.OPPS, _xlpm.NMEX, _xlpm.RESU, _xlpm.CWIN, _xlpm.SEAS, _xlpm.SLSN))),
      _xlpm.LKRS, IF(_xlpm.ISAL, _xlpm.LKON, IF(_xlpm.ALLS, SUMIFS(_xlpm.KONG, _xlpm.OPPS, _xlpm.NMEX, _xlpm.RESU, _xlpm.CLOS), SUMIFS(_xlpm.KONG, _xlpm.OPPS, _xlpm.NMEX, _xlpm.RESU, _xlpm.CLOS, _xlpm.SEAS, _xlpm.SLSN))),
      _xlpm.CNTN, _xlpm.ALNN - _xlpm.BTHR,
      _xlpm.TOTL, (_xlpm.WPRS - _xlpm.LPRS) + 200 * (_xlpm.WKRS - _xlpm.LKRS),
      IF(_xlpm.CNTN=0, "", IF(_xlpm.TOTL&gt;0, "+" &amp; TEXT(_xlpm.TOTL, "#,##0"), TEXT(_xlpm.TOTL, "#,##0"))))))),
  _xlfn.MAP(_xlpm.INPT, _xlpm.MAPF)
)</f>
        <v>+136,000</v>
      </c>
      <c r="M2" s="14"/>
    </row>
    <row r="3" spans="1:13" ht="24" customHeight="1" thickTop="1" thickBot="1" x14ac:dyDescent="0.45">
      <c r="A3" s="7" t="str">
        <v/>
      </c>
      <c r="B3" s="54" t="str">
        <v/>
      </c>
      <c r="C3" s="54" t="str">
        <v/>
      </c>
      <c r="D3" s="54" t="str">
        <v/>
      </c>
      <c r="E3" s="54" t="str">
        <v/>
      </c>
      <c r="F3" s="54" t="str">
        <v/>
      </c>
      <c r="G3" s="54" t="str">
        <v/>
      </c>
      <c r="H3" s="54" t="str">
        <v/>
      </c>
      <c r="J3" s="3" t="s">
        <v>1384</v>
      </c>
    </row>
    <row r="4" spans="1:13" ht="24" customHeight="1" thickTop="1" thickBot="1" x14ac:dyDescent="0.45">
      <c r="A4" s="15" t="str">
        <v>연합팀</v>
      </c>
      <c r="B4" s="3" t="str">
        <v/>
      </c>
      <c r="C4" s="3" t="str">
        <v/>
      </c>
      <c r="D4" s="3" t="str">
        <v/>
      </c>
      <c r="E4" s="3" t="str">
        <v>17승 17패 (50.0%)</v>
      </c>
      <c r="F4" s="3" t="str">
        <v>816,200 / 1,024,700</v>
      </c>
      <c r="G4" s="3" t="str">
        <v>750 / 1,450</v>
      </c>
      <c r="H4" s="3" t="str">
        <v>-12,000</v>
      </c>
    </row>
    <row r="5" spans="1:13" ht="24" customHeight="1" thickTop="1" thickBot="1" x14ac:dyDescent="0.45">
      <c r="A5" s="7" t="str">
        <v>씨나인</v>
      </c>
      <c r="B5" s="54" t="str">
        <v>0승 2패 (0.0%)</v>
      </c>
      <c r="C5" s="54" t="str">
        <v>0승 3패 (0.0%)</v>
      </c>
      <c r="D5" s="54" t="str">
        <v>4승 5패 (44.4%)</v>
      </c>
      <c r="E5" s="54" t="str">
        <v>3승 0패 (100.0%)</v>
      </c>
      <c r="F5" s="54" t="str">
        <v>284,000 / 924,000</v>
      </c>
      <c r="G5" s="54" t="str">
        <v>100 / 300</v>
      </c>
      <c r="H5" s="54" t="str">
        <v>0</v>
      </c>
    </row>
    <row r="6" spans="1:13" ht="24" customHeight="1" thickTop="1" thickBot="1" x14ac:dyDescent="0.45">
      <c r="A6" s="15" t="str">
        <v>케이대</v>
      </c>
      <c r="B6" s="3" t="str">
        <v>3승 1패 (75.0%)</v>
      </c>
      <c r="C6" s="3" t="str">
        <v/>
      </c>
      <c r="D6" s="3" t="str">
        <v>3승 3패 (50.0%)</v>
      </c>
      <c r="E6" s="3" t="str">
        <v>0승 1패 (0.0%)</v>
      </c>
      <c r="F6" s="3" t="str">
        <v>0 / 230,000</v>
      </c>
      <c r="G6" s="3" t="str">
        <v>0 / 400</v>
      </c>
      <c r="H6" s="3" t="str">
        <v>+4,000</v>
      </c>
    </row>
    <row r="7" spans="1:13" ht="24" customHeight="1" thickTop="1" thickBot="1" x14ac:dyDescent="0.45">
      <c r="A7" s="7" t="str">
        <v>JSA</v>
      </c>
      <c r="B7" s="54" t="str">
        <v>1승 2패 (33.3%)</v>
      </c>
      <c r="C7" s="54" t="str">
        <v>1승 1패 (50.0%)</v>
      </c>
      <c r="D7" s="54" t="str">
        <v>5승 2패 (71.4%)</v>
      </c>
      <c r="E7" s="54" t="str">
        <v>1승 0패 (100.0%)</v>
      </c>
      <c r="F7" s="54" t="str">
        <v>0 / 252,000</v>
      </c>
      <c r="G7" s="54" t="str">
        <v>250 / 350</v>
      </c>
      <c r="H7" s="54" t="str">
        <v>+30,000</v>
      </c>
    </row>
    <row r="8" spans="1:13" ht="24" customHeight="1" thickTop="1" thickBot="1" x14ac:dyDescent="0.45">
      <c r="A8" s="15" t="str">
        <v>YB</v>
      </c>
      <c r="B8" s="3" t="str">
        <v>1승 1패 (50.0%)</v>
      </c>
      <c r="C8" s="3" t="str">
        <v/>
      </c>
      <c r="D8" s="3" t="str">
        <v>1승 2패 (33.3%)</v>
      </c>
      <c r="E8" s="3" t="str">
        <v/>
      </c>
      <c r="F8" s="3" t="str">
        <v/>
      </c>
      <c r="G8" s="3" t="str">
        <v>0 / 250</v>
      </c>
      <c r="H8" s="3" t="str">
        <v>-5,000</v>
      </c>
    </row>
    <row r="9" spans="1:13" ht="24" customHeight="1" thickTop="1" thickBot="1" x14ac:dyDescent="0.45">
      <c r="A9" s="7" t="str">
        <v>장독대</v>
      </c>
      <c r="B9" s="54" t="str">
        <v>1승 0패 (100.0%)</v>
      </c>
      <c r="C9" s="54" t="str">
        <v>0승 1패 (0.0%)</v>
      </c>
      <c r="D9" s="54" t="str">
        <v>0승 1패 (0.0%)</v>
      </c>
      <c r="E9" s="54" t="str">
        <v/>
      </c>
      <c r="F9" s="54" t="str">
        <v>0 / 217,800</v>
      </c>
      <c r="G9" s="54" t="str">
        <v>0 / 100</v>
      </c>
      <c r="H9" s="54" t="str">
        <v>-10,000</v>
      </c>
    </row>
    <row r="10" spans="1:13" ht="24" customHeight="1" thickTop="1" thickBot="1" x14ac:dyDescent="0.45">
      <c r="A10" s="15" t="str">
        <v>소림사</v>
      </c>
      <c r="B10" s="3" t="str">
        <v>1승 0패 (100.0%)</v>
      </c>
      <c r="C10" s="3" t="str">
        <v>0승 1패 (0.0%)</v>
      </c>
      <c r="D10" s="3" t="str">
        <v>1승 0패 (100.0%)</v>
      </c>
      <c r="E10" s="3" t="str">
        <v/>
      </c>
      <c r="F10" s="3" t="str">
        <v>0 / 151,700</v>
      </c>
      <c r="G10" s="3" t="str">
        <v/>
      </c>
      <c r="H10" s="3" t="str">
        <v/>
      </c>
    </row>
    <row r="11" spans="1:13" ht="24" customHeight="1" thickTop="1" thickBot="1" x14ac:dyDescent="0.45">
      <c r="A11" s="7" t="str">
        <v>섭이대</v>
      </c>
      <c r="B11" s="54" t="str">
        <v/>
      </c>
      <c r="C11" s="54" t="str">
        <v/>
      </c>
      <c r="D11" s="54" t="str">
        <v>1승 0패 (100.0%)</v>
      </c>
      <c r="E11" s="54" t="str">
        <v/>
      </c>
      <c r="F11" s="54" t="str">
        <v/>
      </c>
      <c r="G11" s="54" t="str">
        <v>100 / 100</v>
      </c>
      <c r="H11" s="54" t="str">
        <v>+10,000</v>
      </c>
    </row>
    <row r="12" spans="1:13" ht="24" customHeight="1" thickTop="1" thickBot="1" x14ac:dyDescent="0.45">
      <c r="A12" s="15" t="str">
        <v>우끼끼즈</v>
      </c>
      <c r="B12" s="3" t="str">
        <v/>
      </c>
      <c r="C12" s="3" t="str">
        <v>0승 1패 (0.0%)</v>
      </c>
      <c r="D12" s="3" t="str">
        <v/>
      </c>
      <c r="E12" s="3" t="str">
        <v/>
      </c>
      <c r="F12" s="3" t="str">
        <v/>
      </c>
      <c r="G12" s="3" t="str">
        <v/>
      </c>
      <c r="H12" s="3" t="str">
        <v/>
      </c>
    </row>
    <row r="13" spans="1:13" ht="24" customHeight="1" thickTop="1" thickBot="1" x14ac:dyDescent="0.45">
      <c r="A13" s="7" t="str">
        <v>정선대</v>
      </c>
      <c r="B13" s="54" t="str">
        <v>2승 1패 (66.7%)</v>
      </c>
      <c r="C13" s="54" t="str">
        <v>0승 1패 (0.0%)</v>
      </c>
      <c r="D13" s="54" t="str">
        <v>5승 1패 (83.3%)</v>
      </c>
      <c r="E13" s="54" t="str">
        <v/>
      </c>
      <c r="F13" s="54" t="str">
        <v>0 / 200,000</v>
      </c>
      <c r="G13" s="54" t="str">
        <v>200 / 300</v>
      </c>
      <c r="H13" s="54" t="str">
        <v>+35,000</v>
      </c>
    </row>
    <row r="14" spans="1:13" ht="24" customHeight="1" thickTop="1" thickBot="1" x14ac:dyDescent="0.45">
      <c r="A14" s="15" t="str">
        <v>이노대</v>
      </c>
      <c r="B14" s="3" t="str">
        <v>2승 0패 (100.0%)</v>
      </c>
      <c r="C14" s="3" t="str">
        <v/>
      </c>
      <c r="D14" s="3" t="str">
        <v>4승 0패 (100.0%)</v>
      </c>
      <c r="E14" s="3" t="str">
        <v>2승 2패 (50.0%)</v>
      </c>
      <c r="F14" s="3" t="str">
        <v>0 / 300,000</v>
      </c>
      <c r="G14" s="3" t="str">
        <v>200 / 200</v>
      </c>
      <c r="H14" s="3" t="str">
        <v>+51,000</v>
      </c>
    </row>
    <row r="15" spans="1:13" ht="24" customHeight="1" thickTop="1" thickBot="1" x14ac:dyDescent="0.45">
      <c r="A15" s="7" t="str">
        <v>늪지대</v>
      </c>
      <c r="B15" s="54" t="str">
        <v>0승 1패 (0.0%)</v>
      </c>
      <c r="C15" s="54" t="str">
        <v>1승 0패 (100.0%)</v>
      </c>
      <c r="D15" s="54" t="str">
        <v>1승 4패 (20.0%)</v>
      </c>
      <c r="E15" s="54" t="str">
        <v>1승 0패 (100.0%)</v>
      </c>
      <c r="F15" s="54" t="str">
        <v/>
      </c>
      <c r="G15" s="54" t="str">
        <v/>
      </c>
      <c r="H15" s="54" t="str">
        <v>+15,000</v>
      </c>
    </row>
    <row r="16" spans="1:13" ht="24" customHeight="1" thickTop="1" thickBot="1" x14ac:dyDescent="0.45">
      <c r="A16" s="15" t="str">
        <v>와플대</v>
      </c>
      <c r="B16" s="3" t="str">
        <v>1승 1패 (50.0%)</v>
      </c>
      <c r="C16" s="3" t="str">
        <v/>
      </c>
      <c r="D16" s="3" t="str">
        <v>4승 0패 (100.0%)</v>
      </c>
      <c r="E16" s="3" t="str">
        <v/>
      </c>
      <c r="F16" s="3" t="str">
        <v/>
      </c>
      <c r="G16" s="3" t="str">
        <v/>
      </c>
      <c r="H16" s="3" t="str">
        <v>+25,000</v>
      </c>
    </row>
    <row r="17" spans="1:8" ht="24" customHeight="1" thickTop="1" thickBot="1" x14ac:dyDescent="0.45">
      <c r="A17" s="7" t="str">
        <v>엠비대</v>
      </c>
      <c r="B17" s="54" t="str">
        <v>2승 1패 (66.7%)</v>
      </c>
      <c r="C17" s="54" t="str">
        <v>0승 1패 (0.0%)</v>
      </c>
      <c r="D17" s="54" t="str">
        <v>2승 2패 (50.0%)</v>
      </c>
      <c r="E17" s="54" t="str">
        <v>0승 1패 (0.0%)</v>
      </c>
      <c r="F17" s="54" t="str">
        <v>0 / 323,500</v>
      </c>
      <c r="G17" s="54" t="str">
        <v/>
      </c>
      <c r="H17" s="54" t="str">
        <v>-15,000</v>
      </c>
    </row>
    <row r="18" spans="1:8" ht="24" customHeight="1" thickTop="1" thickBot="1" x14ac:dyDescent="0.45">
      <c r="A18" s="15" t="str">
        <v>흑카데미</v>
      </c>
      <c r="B18" s="3" t="str">
        <v>1승 0패 (100.0%)</v>
      </c>
      <c r="C18" s="3" t="str">
        <v/>
      </c>
      <c r="D18" s="3" t="str">
        <v>0승 6패 (0.0%)</v>
      </c>
      <c r="E18" s="3" t="str">
        <v/>
      </c>
      <c r="F18" s="3" t="str">
        <v/>
      </c>
      <c r="G18" s="3" t="str">
        <v/>
      </c>
      <c r="H18" s="3" t="str">
        <v>-20,000</v>
      </c>
    </row>
    <row r="19" spans="1:8" ht="24" customHeight="1" thickTop="1" thickBot="1" x14ac:dyDescent="0.45">
      <c r="A19" s="7" t="str">
        <v>거성대</v>
      </c>
      <c r="B19" s="54" t="str">
        <v>1승 0패 (100.0%)</v>
      </c>
      <c r="C19" s="54" t="str">
        <v/>
      </c>
      <c r="D19" s="54" t="str">
        <v/>
      </c>
      <c r="E19" s="54" t="str">
        <v/>
      </c>
      <c r="F19" s="54" t="str">
        <v/>
      </c>
      <c r="G19" s="54" t="str">
        <v/>
      </c>
      <c r="H19" s="54" t="str">
        <v/>
      </c>
    </row>
    <row r="20" spans="1:8" ht="24" customHeight="1" thickTop="1" thickBot="1" x14ac:dyDescent="0.45">
      <c r="A20" s="15" t="str">
        <v>수술대</v>
      </c>
      <c r="B20" s="3" t="str">
        <v>1승 0패 (100.0%)</v>
      </c>
      <c r="C20" s="3" t="str">
        <v/>
      </c>
      <c r="D20" s="3" t="str">
        <v>3승 3패 (50.0%)</v>
      </c>
      <c r="E20" s="3" t="str">
        <v/>
      </c>
      <c r="F20" s="3" t="str">
        <v/>
      </c>
      <c r="G20" s="3" t="str">
        <v/>
      </c>
      <c r="H20" s="3" t="str">
        <v>+5,000</v>
      </c>
    </row>
    <row r="21" spans="1:8" ht="24" customHeight="1" thickTop="1" thickBot="1" x14ac:dyDescent="0.45">
      <c r="A21" s="7" t="str">
        <v>뉴캣슬</v>
      </c>
      <c r="B21" s="54" t="str">
        <v/>
      </c>
      <c r="C21" s="54" t="str">
        <v>0승 1패 (0.0%)</v>
      </c>
      <c r="D21" s="54" t="str">
        <v>4승 3패 (57.1%)</v>
      </c>
      <c r="E21" s="54" t="str">
        <v>0승 1패 (0.0%)</v>
      </c>
      <c r="F21" s="54" t="str">
        <v>0 / 36,000</v>
      </c>
      <c r="G21" s="54" t="str">
        <v>100 / 200</v>
      </c>
      <c r="H21" s="54" t="str">
        <v>+3,000</v>
      </c>
    </row>
    <row r="22" spans="1:8" ht="24" customHeight="1" thickTop="1" thickBot="1" x14ac:dyDescent="0.45">
      <c r="A22" s="15" t="str">
        <v>노적단</v>
      </c>
      <c r="B22" s="3" t="str">
        <v/>
      </c>
      <c r="C22" s="3" t="str">
        <v/>
      </c>
      <c r="D22" s="3" t="str">
        <v/>
      </c>
      <c r="E22" s="3" t="str">
        <v>1승 0패 (100.0%)</v>
      </c>
      <c r="F22" s="3" t="str">
        <v/>
      </c>
      <c r="G22" s="3" t="str">
        <v/>
      </c>
      <c r="H22" s="3" t="str">
        <v/>
      </c>
    </row>
    <row r="23" spans="1:8" ht="24" customHeight="1" thickTop="1" thickBot="1" x14ac:dyDescent="0.45">
      <c r="A23" s="7" t="str">
        <v>DM</v>
      </c>
      <c r="B23" s="54" t="str">
        <v/>
      </c>
      <c r="C23" s="54" t="str">
        <v/>
      </c>
      <c r="D23" s="54" t="str">
        <v>2승 0패 (100.0%)</v>
      </c>
      <c r="E23" s="54" t="str">
        <v/>
      </c>
      <c r="F23" s="54" t="str">
        <v/>
      </c>
      <c r="G23" s="54" t="str">
        <v/>
      </c>
      <c r="H23" s="54" t="str">
        <v>+20,000</v>
      </c>
    </row>
    <row r="24" spans="1:8" ht="24" customHeight="1" thickTop="1" thickBot="1" x14ac:dyDescent="0.45">
      <c r="A24" s="15" t="str">
        <v>신세계</v>
      </c>
      <c r="B24" s="3" t="str">
        <v/>
      </c>
      <c r="C24" s="3" t="str">
        <v/>
      </c>
      <c r="D24" s="3" t="str">
        <v>1승 0패 (100.0%)</v>
      </c>
      <c r="E24" s="3" t="str">
        <v/>
      </c>
      <c r="F24" s="3" t="str">
        <v/>
      </c>
      <c r="G24" s="3" t="str">
        <v/>
      </c>
      <c r="H24" s="3" t="str">
        <v/>
      </c>
    </row>
    <row r="25" spans="1:8" ht="24" customHeight="1" thickTop="1" thickBot="1" x14ac:dyDescent="0.45">
      <c r="A25" s="7" t="str">
        <v>BGM</v>
      </c>
      <c r="B25" s="54" t="str">
        <v/>
      </c>
      <c r="C25" s="54" t="str">
        <v/>
      </c>
      <c r="D25" s="54" t="str">
        <v>1승 0패 (100.0%)</v>
      </c>
      <c r="E25" s="54" t="str">
        <v/>
      </c>
      <c r="F25" s="54" t="str">
        <v/>
      </c>
      <c r="G25" s="54" t="str">
        <v/>
      </c>
      <c r="H25" s="54" t="str">
        <v/>
      </c>
    </row>
    <row r="26" spans="1:8" ht="24" customHeight="1" thickTop="1" thickBot="1" x14ac:dyDescent="0.45">
      <c r="A26" s="15" t="str">
        <v>HM</v>
      </c>
      <c r="B26" s="3" t="str">
        <v>1승 0패 (100.0%)</v>
      </c>
      <c r="C26" s="3" t="str">
        <v/>
      </c>
      <c r="D26" s="3" t="str">
        <v>1승 0패 (100.0%)</v>
      </c>
      <c r="E26" s="3" t="str">
        <v/>
      </c>
      <c r="F26" s="3" t="str">
        <v/>
      </c>
      <c r="G26" s="3" t="str">
        <v/>
      </c>
      <c r="H26" s="3" t="str">
        <v/>
      </c>
    </row>
    <row r="27" spans="1:8" ht="24" customHeight="1" thickTop="1" thickBot="1" x14ac:dyDescent="0.45">
      <c r="A27" s="7" t="str">
        <v>드림즈</v>
      </c>
      <c r="B27" s="54" t="str">
        <v/>
      </c>
      <c r="C27" s="54" t="str">
        <v/>
      </c>
      <c r="D27" s="54" t="str">
        <v/>
      </c>
      <c r="E27" s="54" t="str">
        <v/>
      </c>
      <c r="F27" s="54" t="str">
        <v/>
      </c>
      <c r="G27" s="54" t="str">
        <v/>
      </c>
      <c r="H27" s="54" t="str">
        <v/>
      </c>
    </row>
    <row r="29" spans="1:8" ht="24" customHeight="1" thickTop="1" thickBot="1" x14ac:dyDescent="0.45">
      <c r="A29" s="7"/>
      <c r="B29" s="54"/>
      <c r="C29" s="54"/>
      <c r="D29" s="54"/>
      <c r="E29" s="54"/>
      <c r="F29" s="54"/>
      <c r="G29" s="54"/>
      <c r="H29" s="54"/>
    </row>
  </sheetData>
  <phoneticPr fontId="1" type="noConversion"/>
  <dataValidations count="1">
    <dataValidation type="list" allowBlank="1" showInputMessage="1" showErrorMessage="1" sqref="M1" xr:uid="{142703BA-F328-4B90-B93A-BC061893509F}">
      <formula1>"전체,시즌1,시즌2,시즌3,시즌4,시즌5,캄몬1"</formula1>
    </dataValidation>
  </dataValidations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64A94-0AF5-4AB8-B91D-355AF47DED68}">
  <sheetPr codeName="Sheet08"/>
  <dimension ref="A1:M61"/>
  <sheetViews>
    <sheetView zoomScale="70" zoomScaleNormal="70" workbookViewId="0">
      <selection activeCell="C11" sqref="C11"/>
    </sheetView>
  </sheetViews>
  <sheetFormatPr defaultColWidth="15.69921875" defaultRowHeight="24" customHeight="1" thickTop="1" thickBottom="1" x14ac:dyDescent="0.45"/>
  <cols>
    <col min="1" max="1" width="15.69921875" style="15"/>
    <col min="2" max="10" width="21.69921875" style="3" customWidth="1"/>
    <col min="11" max="16384" width="15.69921875" style="3"/>
  </cols>
  <sheetData>
    <row r="1" spans="1:13" ht="24" customHeight="1" thickTop="1" thickBot="1" x14ac:dyDescent="0.45">
      <c r="A1" s="55" t="s">
        <v>68</v>
      </c>
      <c r="B1" s="56" t="s">
        <v>934</v>
      </c>
      <c r="C1" s="56" t="s">
        <v>935</v>
      </c>
      <c r="D1" s="56" t="s">
        <v>936</v>
      </c>
      <c r="E1" s="56" t="s">
        <v>937</v>
      </c>
      <c r="F1" s="56" t="s">
        <v>938</v>
      </c>
      <c r="G1" s="56" t="s">
        <v>940</v>
      </c>
      <c r="H1" s="56" t="s">
        <v>939</v>
      </c>
      <c r="I1" s="56" t="s">
        <v>941</v>
      </c>
      <c r="J1" s="57" t="s">
        <v>942</v>
      </c>
      <c r="K1" s="2"/>
      <c r="L1" s="8"/>
      <c r="M1" s="19" t="s">
        <v>2093</v>
      </c>
    </row>
    <row r="2" spans="1:13" ht="24" customHeight="1" thickTop="1" thickBot="1" x14ac:dyDescent="0.45">
      <c r="A2" s="27" t="str" cm="1">
        <f t="array" ref="A2:A51">_xlfn.LET(
  _xlpm.SLSN, $M$1,
  _xlpm.ALLS, _xlpm.SLSN="전체",
  _xlpm.NMSK, IF(
    _xlpm.ALLS,
    멤버[이름],
    _xlfn._xlws.FILTER(
      멤버[이름],
      ISNUMBER(
        SEARCH(
          "," &amp; SUBSTITUTE(SUBSTITUTE(SUBSTITUTE(_xlpm.SLSN,"시즌","S"),"캄몬","C")," ","") &amp; ",",
          "," &amp; SUBSTITUTE(SUBSTITUTE(SUBSTITUTE(멤버[활동 시즌],"시즌","S"),"캄몬","C")," ","") &amp; ","
        )
      ),
      ""
    )
  ),
  _xlpm.FXTD, _xlfn.TOCOL({"","테란반","저그반","프로토스반"},,1),
  _xlfn.UNIQUE(_xlfn.VSTACK(_xlpm.NMSK, _xlpm.FXTD))
)</f>
        <v>김윤환</v>
      </c>
      <c r="B2" s="14" t="str" cm="1">
        <f t="array" ref="B2:E51">_xlfn.LET(
  _xlpm.SLSN, $M$1,
  _xlpm.ALLS, _xlpm.SLSN="전체",
  _xlpm.RNGE, 전적[[1R]:[번외]],
  _xlpm.HDRS, COLUMNS(_xlpm.RNGE),
  _xlpm.DTRS, ROWS(_xlpm.RNGE)-1,
  _xlpm.DATA, INDEX(_xlpm.RNGE, _xlfn.SEQUENCE(_xlpm.DTRS,1,2), _xlfn.SEQUENCE(1,_xlpm.HDRS)),
  _xlpm.RTXT, _xlfn.BYROW(_xlpm.DATA, _xlfn.LAMBDA(_xlpm.r, _xlfn.TEXTJOIN(" ", TRUE, _xlpm.r))),
  _xlpm.FMTC, INDEX(전적[형식], _xlfn.SEQUENCE(_xlpm.DTRS,1,2)),
  _xlpm.SSEA, INDEX(전적[시즌], _xlfn.SEQUENCE(_xlpm.DTRS,1,2)),
  _xlpm.SMAS, IF(_xlpm.ALLS, 1, --(_xlpm.SSEA = _xlpm.SLSN)),
  _xlpm.INPT,_xlfn.ANCHORARRAY( $A2),
  _xlpm.TYPS, {"대회","대학","미니","CK"},
  _xlpm.FLGS, CHOOSE({1,2,3,4},
    N((_xlpm.FMTC = INDEX(_xlpm.TYPS,1)) * _xlpm.SMAS),
    N((_xlpm.FMTC = INDEX(_xlpm.TYPS,2)) * _xlpm.SMAS),
    N((_xlpm.FMTC = INDEX(_xlpm.TYPS,3)) * _xlpm.SMAS),
    N((_xlpm.FMTC = INDEX(_xlpm.TYPS,4)) * _xlpm.SMAS)),
  _xlpm.SWIN, _xlfn.LAMBDA(_xlpm.nm,_xlpm.fcol,
   _xlfn.LET(_xlpm.PAT, _xlpm.nm &amp; " 승",
    _xlpm.CNT, (LEN(_xlpm.RTXT) - LEN(SUBSTITUTE(_xlpm.RTXT, _xlpm.PAT, ""))) / LEN(_xlpm.PAT),
    SUMPRODUCT(_xlpm.fcol * _xlpm.CNT))),
  _xlpm.SLOS, _xlfn.LAMBDA(_xlpm.nm,_xlpm.fcol,
   _xlfn.LET(_xlpm.PAT, _xlpm.nm &amp; " 패",
    _xlpm.CNT, (LEN(_xlpm.RTXT) - LEN(SUBSTITUTE(_xlpm.RTXT, _xlpm.PAT, ""))) / LEN(_xlpm.PAT),
    SUMPRODUCT(_xlpm.fcol * _xlpm.CNT))),
  _xlpm.MWIN, _xlfn.LAMBDA(_xlpm.lst,_xlpm.fcol, IFERROR(SUM(_xlfn.MAP(_xlpm.lst, _xlfn.LAMBDA(_xlpm.x, _xlpm.SWIN(_xlpm.x, _xlpm.fcol)))), 0)),
  _xlpm.MLOS, _xlfn.LAMBDA(_xlpm.lst,_xlpm.fcol, IFERROR(SUM(_xlfn.MAP(_xlpm.lst, _xlfn.LAMBDA(_xlpm.x, _xlpm.SLOS(_xlpm.x, _xlpm.fcol)))), 0)),
  _xlpm.MKCL, _xlfn.LAMBDA(_xlpm.r,_xlpm.c,
   _xlfn.LET(_xlpm.ENTY, INDEX(_xlpm.INPT, _xlpm.r),
    _xlpm.FCOL, INDEX(_xlpm.FLGS, , _xlpm.c),
    IF(_xlpm.ENTY="","",
     _xlfn.LET(_xlpm.ISBN, RIGHT(_xlpm.ENTY,1)="반",
      _xlpm.TRBE, IF(_xlpm.ISBN, LEFT(_xlpm.ENTY, LEN(_xlpm.ENTY)-1), ""),
      _xlpm.NLST, IF(_xlpm.ISBN, _xlfn._xlws.FILTER(멤버[이름], 멤버[종족]=_xlpm.TRBE), ""),
      _xlpm.VCNT, IF(_xlpm.ISBN, IFERROR(ROWS(_xlpm.NLST), IF(_xlpm.NLST="",0,1)), 1),
      _xlpm.WNCT, IF(_xlpm.VCNT=0,0, IF(_xlpm.ISBN, _xlpm.MWIN(_xlpm.NLST,_xlpm.FCOL), _xlpm.SWIN(_xlpm.ENTY,_xlpm.FCOL))),
      _xlpm.LSCT, IF(_xlpm.VCNT=0,0, IF(_xlpm.ISBN, _xlpm.MLOS(_xlpm.NLST,_xlpm.FCOL), _xlpm.SLOS(_xlpm.ENTY,_xlpm.FCOL))),
      _xlpm.TTOT, _xlpm.WNCT+_xlpm.LSCT,
      IF(_xlpm.TTOT=0,"", _xlpm.WNCT &amp; "승 " &amp; _xlpm.LSCT &amp; "패 (" &amp; TEXT(_xlpm.WNCT/_xlpm.TTOT,"0.0%") &amp; ")"))))),
  _xlfn.MAKEARRAY(ROWS(_xlpm.INPT), COLUMNS(_xlpm.TYPS), _xlpm.MKCL)
)</f>
        <v/>
      </c>
      <c r="C2" s="14" t="str">
        <v/>
      </c>
      <c r="D2" s="14" t="str">
        <v>6승 2패 (75.0%)</v>
      </c>
      <c r="E2" s="14" t="str">
        <v>19승 16패 (54.3%)</v>
      </c>
      <c r="F2" s="14" t="str" cm="1">
        <f t="array" ref="F2:H51">_xlfn.LET(
  _xlpm.SLSN, $M$1,
  _xlpm.ALLS, _xlpm.SLSN="전체",
  _xlpm.RNGE, IF(_xlpm.ALLS, 전적[[1R]:[번외]], _xlfn._xlws.FILTER(전적[[1R]:[번외]], 전적[시즌]=_xlpm.SLSN)),
  _xlpm.RCOL, _xlfn.TOCOL(_xlpm.RNGE,1),
  _xlpm.TCEL, _xlfn._xlws.FILTER(_xlpm.RCOL, IFERROR(ISNUMBER(SEARCH("T", _xlpm.RCOL)), FALSE)),
  _xlpm.ZCEL, _xlfn._xlws.FILTER(_xlpm.RCOL, IFERROR(ISNUMBER(SEARCH("Z", _xlpm.RCOL)), FALSE)),
  _xlpm.PCEL, _xlfn._xlws.FILTER(_xlpm.RCOL, IFERROR(ISNUMBER(SEARCH("P", _xlpm.RCOL)), FALSE)),
  _xlpm.INPT,_xlfn.ANCHORARRAY( $A2),
  _xlpm.CNTF, _xlfn.LAMBDA(_xlpm.NAMS,_xlpm.RESU,_xlpm.TARG,
   _xlfn.LET(_xlpm.KYS, _xlfn.TOCOL(_xlpm.NAMS &amp; " " &amp; _xlpm.RESU, 1),
    SUM(_xlfn.BYROW(_xlpm.TARG, _xlfn.LAMBDA(_xlpm.c, SUM(--IFERROR(ISNUMBER(SEARCH(_xlpm.KYS, _xlpm.c)), 0))))))),
  _xlpm.MKCL, _xlfn.LAMBDA(_xlpm.r,_xlpm.c,
   _xlfn.LET(_xlpm.VALU, INDEX(_xlpm.INPT, _xlpm.r),
    IF(OR(_xlpm.VALU="", NOT(_xlpm.ALLS) * (COUNTIFS(전적[시즌], _xlpm.SLSN)=0)), "",
     _xlfn.LET(_xlpm.ISBN, RIGHT(_xlpm.VALU,1)="반",
      _xlpm.TRBE, IF(_xlpm.ISBN, LEFT(_xlpm.VALU, LEN(_xlpm.VALU)-1), ""),
      _xlpm.NLST, IF(_xlpm.ISBN, _xlfn._xlws.FILTER(멤버[이름], 멤버[종족]=_xlpm.TRBE), _xlpm.VALU),
      _xlpm.TARG, CHOOSE(_xlpm.c, _xlpm.TCEL, _xlpm.ZCEL, _xlpm.PCEL),
      _xlpm.WNCT, _xlpm.CNTF(_xlfn.TOCOL(_xlpm.NLST,1), "승", _xlpm.TARG),
      _xlpm.LSCT, _xlpm.CNTF(_xlfn.TOCOL(_xlpm.NLST,1), "패", _xlpm.TARG),
      _xlpm.TTOT, _xlpm.WNCT+_xlpm.LSCT,
      IF(_xlpm.TTOT=0,"", _xlpm.WNCT &amp; "승 " &amp; _xlpm.LSCT &amp; "패 (" &amp; TEXT(_xlpm.WNCT/_xlpm.TTOT,"0.0%") &amp; ")"))))),
  _xlfn.MAKEARRAY(ROWS(_xlpm.INPT), 3, _xlpm.MKCL)
)</f>
        <v>10승 6패 (62.5%)</v>
      </c>
      <c r="G2" s="14" t="str">
        <v>1승 0패 (100.0%)</v>
      </c>
      <c r="H2" s="14" t="str">
        <v>10승 10패 (50.0%)</v>
      </c>
      <c r="I2" s="14" t="str" cm="1">
        <f t="array" ref="I2:I51">_xlfn.LET(
  _xlpm.SLSN, $M$1,
  _xlpm.ALLS, _xlpm.SLSN="전체",
  _xlpm.RNGE, IF(_xlpm.ALLS, 전적[[1R]:[번외]], _xlfn._xlws.FILTER(전적[[1R]:[번외]], 전적[시즌]=_xlpm.SLSN)),
  _xlpm.TYPS, {"대회","대학","미니","CK"},
  _xlpm.INPT,_xlfn.ANCHORARRAY( $A2),
  _xlpm.MAPF, _xlfn.LAMBDA(_xlpm.NAME,
   IF(_xlpm.NAME="","",
    _xlfn.LET(
     _xlpm.SSEA, _xlpm.SLSN,
     _xlpm.BYTP, _xlfn.MAP(_xlpm.TYPS, _xlfn.LAMBDA(_xlpm.TYPX,
      _xlfn.LET(
       _xlpm.ALLR, IF(_xlpm.ALLS, _xlfn._xlws.FILTER(전적[[1R]:[번외]], 전적[형식]=_xlpm.TYPX), _xlfn._xlws.FILTER(전적[[1R]:[번외]], (전적[형식]=_xlpm.TYPX)*(전적[시즌]=_xlpm.SSEA))),
       _xlpm.ALLC, _xlfn.TOCOL(_xlpm.ALLR, 1),
       _xlpm.NMCE, IFERROR(_xlfn._xlws.FILTER(_xlpm.ALLC, ISNUMBER(SEARCH(_xlpm.NAME, SUBSTITUTE(_xlpm.ALLC, CHAR(10), " ")))), _xlfn.SEQUENCE(0)),
       _xlpm.OPPS, IFERROR(_xlfn.MAP(_xlpm.NMCE, _xlfn.LAMBDA(_xlpm.XVAL,
        _xlfn.LET(
         _xlpm.LNEA, _xlfn.TEXTSPLIT(TRIM(_xlpm.XVAL), CHAR(10)),
         _xlpm.ROWA, INDEX(_xlpm.LNEA, 1),
         _xlpm.ROWB, INDEX(_xlpm.LNEA, 2),
         _xlpm.OPPL, IF(ISNUMBER(SEARCH(_xlpm.NAME, _xlpm.ROWA)), _xlpm.ROWB, IF(ISNUMBER(SEARCH(_xlpm.NAME, _xlpm.ROWB)), _xlpm.ROWA, "")),
         _xlpm.OPNM, TRIM(IFERROR(_xlfn.TEXTAFTER(_xlpm.OPPL, "VS "), _xlpm.OPPL)),
         _xlfn.TEXTBEFORE(_xlpm.OPNM &amp; " ", " ")))), _xlfn.SEQUENCE(0)),
       _xlpm.RSUL, IFERROR(_xlfn.MAP(_xlpm.NMCE, _xlfn.LAMBDA(_xlpm.XVAL,
        _xlfn.LET(
         _xlpm.LNEA, _xlfn.TEXTSPLIT(TRIM(_xlpm.XVAL), CHAR(10)),
         _xlpm.ROWA, INDEX(_xlpm.LNEA, 1),
         _xlpm.ROWB, INDEX(_xlpm.LNEA, 2),
         _xlpm.RELX, IF(ISNUMBER(SEARCH(_xlpm.NAME, _xlpm.ROWA)), _xlpm.ROWA, IF(ISNUMBER(SEARCH(_xlpm.NAME, _xlpm.ROWB)), _xlpm.ROWB, "")),
         IF(ISNUMBER(SEARCH(_xlpm.NAME &amp; " 승", _xlpm.RELX)), "승", IF(ISNUMBER(SEARCH(_xlpm.NAME &amp; " 패", _xlpm.RELX)), "패", ""))))), _xlfn.SEQUENCE(0)),
       _xlpm.CLNO, CLEAN(_xlpm.OPPS),
       _xlpm.UNIQ, IFERROR(_xlfn.UNIQUE(_xlfn._xlws.FILTER(_xlpm.CLNO, _xlpm.CLNO&lt;&gt;"")), _xlfn.SEQUENCE(0)),
       _xlpm.SUMA, _xlfn.MAP(_xlpm.UNIQ, _xlfn.LAMBDA(_xlpm.ITMX,
        _xlfn.LET(
         _xlpm.WNCT, SUM((_xlpm.CLNO=_xlpm.ITMX)*(_xlpm.RSUL="승")),
         _xlpm.LNCT, SUM((_xlpm.CLNO=_xlpm.ITMX)*(_xlpm.RSUL="패")),
         _xlpm.TTOT, _xlpm.WNCT + _xlpm.LNCT,
         _xlpm.RATE, IF(_xlpm.TTOT=0, 0, _xlpm.WNCT/_xlpm.TTOT),
         IF(_xlpm.TTOT&gt;0, _xlpm.ITMX &amp; ": " &amp; _xlpm.WNCT &amp; "승 " &amp; _xlpm.LNCT &amp; "패 (" &amp; TEXT(_xlpm.RATE, "0.0%") &amp; ")", "")))),
       _xlpm.SUMM, _xlfn._xlws.FILTER(_xlpm.SUMA, _xlpm.SUMA&lt;&gt;""),
       IFERROR(IF(ROWS(_xlpm.SUMM)&gt;0, _xlpm.TYPX &amp; " - " &amp; _xlfn.TEXTJOIN(" · ", TRUE, _xlpm.SUMM), ""), "")))),
   IFERROR(IF(COUNTA(_xlfn._xlws.FILTER(_xlpm.BYTP, _xlpm.BYTP&lt;&gt;""))=0, "", _xlfn.TEXTJOIN(" / ", TRUE, _xlfn._xlws.FILTER(_xlpm.BYTP, _xlpm.BYTP&lt;&gt;""))), "")))),
  _xlfn.MAP(_xlpm.INPT, _xlpm.MAPF)
)</f>
        <v>미니 - 정경두: 0승 2패 (0.0%) · 프발: 2승 0패 (100.0%) · 원선재: 1승 1패 (50.0%) · 지동원: 1승 0패 (100.0%) · 유승곤: 0승 1패 (0.0%) · 배호딱: 2승 0패 (100.0%) / CK - 지동원: 5승 3패 (62.5%) · 윤수철: 2승 2패 (50.0%) · 원선재: 0승 1패 (0.0%) · 정민기: 1승 2패 (33.3%) · 만두호성: 3승 1패 (75.0%) · 이경민: 1승 1패 (50.0%) · 윤용태: 0승 1패 (0.0%) · 김범수: 1승 0패 (100.0%) · 임진묵: 1승 0패 (100.0%) · 구라미스: 2승 1패 (66.7%) · 박재혁: 1승 0패 (100.0%) · 장민철: 1승 0패 (100.0%) · 김윤중: 0승 1패 (0.0%) · 진영화: 0승 1패 (0.0%) · 박수범: 0승 1패 (0.0%) · 왜냐맨: 1승 0패 (100.0%) · 김민철: 0승 1패 (0.0%)</v>
      </c>
      <c r="J2" s="14" t="str" cm="1">
        <f t="array" ref="J2:J51">_xlfn.LET(
  _xlpm.SLSN, $M$1,
  _xlpm.ALLS, _xlpm.SLSN="전체",
  _xlpm.EXST, IF(_xlpm.ALLS, TRUE, COUNTIFS(전적[시즌], _xlpm.SLSN)&gt;0),
  _xlpm.RNGE, IF(_xlpm.ALLS, 전적[[1R]:[번외]], _xlfn._xlws.FILTER(전적[[1R]:[번외]], 전적[시즌]=_xlpm.SLSN)),
  _xlpm.CELS, _xlfn.TOCOL(_xlpm.RNGE, 1),
  _xlpm.CSUB, SUBSTITUTE(_xlpm.CELS, CHAR(10), " "),
  _xlpm.INPT,_xlfn.ANCHORARRAY( $A2),
  _xlpm.MAPF, _xlfn.LAMBDA(_xlpm.NAME, IF(_xlpm.NAME="","",
   _xlfn.LET(
    _xlpm.NCLS, IFERROR(_xlfn._xlws.FILTER(_xlpm.CELS, ISNUMBER(SEARCH(_xlpm.NAME, _xlpm.CSUB))), _xlfn.SEQUENCE(0)),
    _xlpm.RSLT, IFERROR(_xlfn.MAP(_xlpm.NCLS, _xlfn.LAMBDA(_xlpm.X,
     _xlfn.LET(
      _xlpm.LNEA, _xlfn.TEXTSPLIT(TRIM(_xlpm.X), CHAR(10)),
      _xlpm.RONE, INDEX(_xlpm.LNEA, 1),
      _xlpm.RTWO, INDEX(_xlpm.LNEA, 2),
      _xlpm.RELX, IF(ISNUMBER(SEARCH(_xlpm.NAME, _xlpm.RONE)), _xlpm.RONE, _xlpm.RTWO),
      IF(ISNUMBER(SEARCH(_xlpm.NAME &amp; " 승", _xlpm.RELX)), "승", IF(ISNUMBER(SEARCH(_xlpm.NAME &amp; " 패", _xlpm.RELX)), "패", ""))))), _xlfn.SEQUENCE(0)),
    _xlpm.MPAS, IFERROR(_xlfn.MAP(_xlpm.NCLS, _xlfn.LAMBDA(_xlpm.X, _xlfn.LET(_xlpm.LNEA, _xlfn.TEXTSPLIT(TRIM(_xlpm.X), CHAR(10)), INDEX(_xlpm.LNEA, 3)))), _xlfn.SEQUENCE(0)),
    _xlpm.CLNS, TRIM(CLEAN(_xlpm.MPAS)),
    _xlpm.CLRS, _xlpm.RSLT,
    _xlpm.UNIQ, IFERROR(_xlfn.UNIQUE(_xlfn._xlws.FILTER(_xlpm.CLNS, _xlpm.CLNS&lt;&gt;"")), _xlfn.SEQUENCE(0)),
    _xlpm.SARR, _xlfn.MAP(_xlpm.UNIQ, _xlfn.LAMBDA(_xlpm.U,
     _xlfn.LET(
      _xlpm.WNCT, SUM((_xlpm.CLNS=_xlpm.U)*(_xlpm.CLRS="승")),
      _xlpm.LNCT, SUM((_xlpm.CLNS=_xlpm.U)*(_xlpm.CLRS="패")),
      _xlpm.TTOT, _xlpm.WNCT + _xlpm.LNCT,
      IF(_xlpm.TTOT&gt;0, _xlpm.U &amp; ": " &amp; _xlpm.WNCT &amp; "승 " &amp; _xlpm.LNCT &amp; "패 (" &amp; TEXT(IFERROR(_xlpm.WNCT/_xlpm.TTOT,0),"0.0%") &amp; ")", "")))),
    _xlpm.SUMM, _xlfn._xlws.FILTER(_xlpm.SARR, _xlpm.SARR&lt;&gt;""),
    IFERROR(IF(ROWS(_xlpm.SUMM)&gt;0, _xlfn.TEXTJOIN(" · ", TRUE, _xlpm.SUMM), ""), "")))),
  _xlfn.MAP(_xlpm.INPT, _xlpm.MAPF)
)</f>
        <v>폴리포이드: 2승 1패 (66.7%) · 라데온: 1승 3패 (25.0%) · 버미어: 1승 1패 (50.0%) · 아포칼립스: 1승 0패 (100.0%) · 데자뷰: 5승 1패 (83.3%) · 몬티홀: 1승 0패 (100.0%) · 민스트럴: 0승 1패 (0.0%) · 판테온: 0승 1패 (0.0%) · 도미네이터: 1승 2패 (33.3%) · 폴스타: 4승 1패 (80.0%) · 메트로폴리스: 0승 3패 (0.0%) · 녹아웃: 4승 2패 (66.7%) · 리트머스: 1승 2패 (33.3%) · 옥타곤: 2승 1패 (66.7%) · 실피드: 1승 0패 (100.0%) · 아이올로스: 1승 0패 (100.0%) · 오디세이: 0승 1패 (0.0%)</v>
      </c>
      <c r="M2" s="14"/>
    </row>
    <row r="3" spans="1:13" ht="24" customHeight="1" thickTop="1" thickBot="1" x14ac:dyDescent="0.45">
      <c r="A3" s="7" t="str">
        <v>이경민</v>
      </c>
      <c r="B3" s="54" t="str">
        <v>1승 0패 (100.0%)</v>
      </c>
      <c r="C3" s="54" t="str">
        <v>0승 2패 (0.0%)</v>
      </c>
      <c r="D3" s="54" t="str">
        <v>3승 1패 (75.0%)</v>
      </c>
      <c r="E3" s="54" t="str">
        <v>16승 9패 (64.0%)</v>
      </c>
      <c r="F3" s="54" t="str">
        <v>7승 1패 (87.5%)</v>
      </c>
      <c r="G3" s="54" t="str">
        <v>10승 8패 (55.6%)</v>
      </c>
      <c r="H3" s="54" t="str">
        <v>0승 2패 (0.0%)</v>
      </c>
      <c r="I3" s="54" t="str">
        <v>대회 - 만두호성: 1승 0패 (100.0%) / 대학 - 김경모: 0승 2패 (0.0%) / 미니 - 박재혁: 1승 1패 (50.0%) · 박준오: 1승 0패 (100.0%) · 유승곤: 1승 0패 (100.0%) · 지동원: 1승 1패 (50.0%) / CK - 김경모: 1승 2패 (33.3%) · 전태양: 2승 0패 (100.0%) · 박재혁: 3승 1패 (75.0%) · 지동원: 3승 0패 (100.0%) · 이예훈: 1승 0패 (100.0%) · 김윤환: 1승 1패 (50.0%) · 고석현: 0승 1패 (0.0%) · 배병우: 1승 0패 (100.0%) · 배성흠: 2승 1패 (66.7%) · 김윤중: 0승 1패 (0.0%) · 얍삽이: 1승 1패 (50.0%) · 이영한: 1승 0패 (100.0%) · 진영화: 0승 1패 (0.0%)</v>
      </c>
      <c r="J3" s="54" t="str">
        <v>버미어: 2승 0패 (100.0%) · 라데온: 4승 4패 (50.0%) · 레트로: 1승 0패 (100.0%) · 데자뷰: 2승 2패 (50.0%) · 판테온: 1승 0패 (100.0%) · 도미네이터: 1승 1패 (50.0%) · 이클립스: 0승 1패 (0.0%) · 메트로폴리스: 2승 1패 (66.7%) · 폴스타: 0승 2패 (0.0%) · 실피드: 3승 1패 (75.0%) · 녹아웃: 2승 0패 (100.0%) · 애티튜드: 1승 0패 (100.0%) · 매치포인트: 0승 1패 (0.0%) · 제인도: 2승 0패 (100.0%)</v>
      </c>
    </row>
    <row r="4" spans="1:13" ht="24" customHeight="1" thickTop="1" thickBot="1" x14ac:dyDescent="0.45">
      <c r="A4" s="15" t="str">
        <v>디임</v>
      </c>
      <c r="B4" s="3" t="str">
        <v>3승 1패 (75.0%)</v>
      </c>
      <c r="C4" s="3" t="str">
        <v>1승 1패 (50.0%)</v>
      </c>
      <c r="D4" s="3" t="str">
        <v>7승 9패 (43.8%)</v>
      </c>
      <c r="E4" s="3" t="str">
        <v>1승 1패 (50.0%)</v>
      </c>
      <c r="F4" s="3" t="str">
        <v>4승 5패 (44.4%)</v>
      </c>
      <c r="G4" s="3" t="str">
        <v>8승 8패 (50.0%)</v>
      </c>
      <c r="H4" s="3" t="str">
        <v>1승 1패 (50.0%)</v>
      </c>
      <c r="I4" s="3" t="str">
        <v>대회 - 럭뜨: 0승 1패 (0.0%) · 방실이: 1승 0패 (100.0%) · 슬돌이: 1승 0패 (100.0%) · 야리: 1승 0패 (100.0%) / 대학 - 오리: 0승 1패 (0.0%) · 지두두: 1승 0패 (100.0%) / 미니 - 모꿀몬: 2승 4패 (33.3%) · 연다람지: 0승 1패 (0.0%) · 카히리: 2승 4패 (33.3%) · 양양: 1승 1패 (50.0%) · 방실이: 1승 1패 (50.0%) · 럭뜨: 2승 0패 (100.0%) / CK - 파찌: 0승 1패 (0.0%) · 클템: 1승 0패 (100.0%)</v>
      </c>
      <c r="J4" s="3" t="str">
        <v>버미어: 3승 5패 (37.5%) · 폴리포이드: 4승 6패 (40.0%) · 시타델: 1승 0패 (100.0%) · 라데온: 3승 3패 (50.0%) · 데자뷰: 1승 0패 (100.0%) · 도미네이터: 1승 0패 (100.0%)</v>
      </c>
    </row>
    <row r="5" spans="1:13" ht="24" customHeight="1" thickTop="1" thickBot="1" x14ac:dyDescent="0.45">
      <c r="A5" s="7" t="str">
        <v>졈니</v>
      </c>
      <c r="B5" s="54" t="str">
        <v>13승 5패 (72.2%)</v>
      </c>
      <c r="C5" s="54" t="str">
        <v>4승 2패 (66.7%)</v>
      </c>
      <c r="D5" s="54" t="str">
        <v>8승 17패 (32.0%)</v>
      </c>
      <c r="E5" s="54" t="str">
        <v>3승 2패 (60.0%)</v>
      </c>
      <c r="F5" s="54" t="str">
        <v>8승 16패 (33.3%)</v>
      </c>
      <c r="G5" s="54" t="str">
        <v>15승 7패 (68.2%)</v>
      </c>
      <c r="H5" s="54" t="str">
        <v>6승 2패 (75.0%)</v>
      </c>
      <c r="I5" s="54" t="str">
        <v>대회 - 찌킹: 1승 1패 (50.0%) · 정소이: 0승 1패 (0.0%) · 연애인: 1승 0패 (100.0%) · 설둥이: 1승 0패 (100.0%) · 몽순: 1승 0패 (100.0%) · 태영: 1승 1패 (50.0%) · 아라미: 1승 0패 (100.0%) · 오하얀: 1승 0패 (100.0%) · 단양: 1승 0패 (100.0%) · 나린: 1승 0패 (100.0%) · 구루미: 1승 0패 (100.0%) · 두디: 0승 1패 (0.0%) · 임밍지: 1승 0패 (100.0%) · 금선: 1승 0패 (100.0%) · 꼬니부깅: 1승 0패 (100.0%) · 강덕구: 0승 1패 (0.0%) / 대학 - 란란: 1승 0패 (100.0%) · 두디: 0승 1패 (0.0%) · 단양: 1승 0패 (100.0%) · 오조은: 1승 1패 (50.0%) · 강덕구: 1승 0패 (100.0%) / 미니 - 림예이: 1승 0패 (100.0%) · 묘아: 0승 1패 (0.0%) · 뿌리: 1승 1패 (50.0%) · 태영: 1승 4패 (20.0%) · 햇살: 0승 4패 (0.0%) · 규리야: 1승 3패 (25.0%) · 링고: 1승 0패 (100.0%) · 두디: 2승 1패 (66.7%) · 아라미: 1승 1패 (50.0%) · 나린: 1승 1패 (50.0%) · 깨림이: 0승 1패 (0.0%) / CK - 아라미: 1승 0패 (100.0%) · 오조은: 0승 1패 (0.0%) · 강덕구: 0승 1패 (0.0%) · 태영: 1승 0패 (100.0%) · 몽순: 1승 0패 (100.0%)</v>
      </c>
      <c r="J5" s="54" t="str">
        <v>버미어: 5승 6패 (45.5%) · 폴리포이드: 8승 8패 (50.0%) · 라데온: 7승 5패 (58.3%) · 도미네이터: 1승 1패 (50.0%) · 데자뷰: 5승 2패 (71.4%) · 이클립스: 3승 4패 (42.9%)</v>
      </c>
    </row>
    <row r="6" spans="1:13" ht="24" customHeight="1" thickTop="1" thickBot="1" x14ac:dyDescent="0.45">
      <c r="A6" s="15" t="str">
        <v>앵지</v>
      </c>
      <c r="B6" s="3" t="str">
        <v>1승 5패 (16.7%)</v>
      </c>
      <c r="C6" s="3" t="str">
        <v>0승 3패 (0.0%)</v>
      </c>
      <c r="D6" s="3" t="str">
        <v>15승 14패 (51.7%)</v>
      </c>
      <c r="E6" s="3" t="str">
        <v>1승 5패 (16.7%)</v>
      </c>
      <c r="F6" s="3" t="str">
        <v>7승 5패 (58.3%)</v>
      </c>
      <c r="G6" s="3" t="str">
        <v>3승 5패 (37.5%)</v>
      </c>
      <c r="H6" s="3" t="str">
        <v>7승 15패 (31.8%)</v>
      </c>
      <c r="I6" s="3" t="str">
        <v>대회 - 쥬나: 0승 1패 (0.0%) · 김뽀뇨: 0승 1패 (0.0%) · 나예리: 1승 0패 (100.0%) · 하리: 0승 1패 (0.0%) · 햇살: 0승 1패 (0.0%) · 요닝: 0승 1패 (0.0%) / 대학 - 라미: 0승 1패 (0.0%) · 시조새: 0승 1패 (0.0%) · 하리: 0승 1패 (0.0%) / 미니 - 연두: 5승 2패 (71.4%) · 무찌: 2승 0패 (100.0%) · 우리밍: 2승 1패 (66.7%) · 빵리나: 2승 4패 (33.3%) · 김뽀뇨: 0승 3패 (0.0%) · 쥬나: 2승 0패 (100.0%) · 규리야: 0승 1패 (0.0%) · 성예량: 0승 2패 (0.0%) · 햇살: 2승 1패 (66.7%) / CK - 토마토: 0승 2패 (0.0%) · 림예이: 1승 0패 (100.0%) · 찌킹: 0승 2패 (0.0%) · 규리야: 0승 1패 (0.0%)</v>
      </c>
      <c r="J6" s="3" t="str">
        <v>버미어: 3승 2패 (60.0%) · 폴리포이드: 5승 2패 (71.4%) · 라데온: 3승 13패 (18.8%) · 시타델: 2승 1패 (66.7%) · 데자뷰: 2승 6패 (25.0%) · 이클립스: 2승 3패 (40.0%)</v>
      </c>
    </row>
    <row r="7" spans="1:13" ht="24" customHeight="1" thickTop="1" thickBot="1" x14ac:dyDescent="0.45">
      <c r="A7" s="7" t="str">
        <v>토마토</v>
      </c>
      <c r="B7" s="54" t="str">
        <v>14승 6패 (70.0%)</v>
      </c>
      <c r="C7" s="54" t="str">
        <v>2승 6패 (25.0%)</v>
      </c>
      <c r="D7" s="54" t="str">
        <v>30승 31패 (49.2%)</v>
      </c>
      <c r="E7" s="54" t="str">
        <v>17승 4패 (81.0%)</v>
      </c>
      <c r="F7" s="54" t="str">
        <v>24승 18패 (57.1%)</v>
      </c>
      <c r="G7" s="54" t="str">
        <v>17승 18패 (48.6%)</v>
      </c>
      <c r="H7" s="54" t="str">
        <v>15승 8패 (65.2%)</v>
      </c>
      <c r="I7" s="54" t="str">
        <v>대회 - 김뽀뇨: 1승 0패 (100.0%) · 소심: 1승 0패 (100.0%) · 늑대채린: 1승 0패 (100.0%) · 구보라: 0승 1패 (0.0%) · 무찌: 1승 1패 (50.0%) · 오조은: 1승 1패 (50.0%) · 공다츠: 1승 0패 (100.0%) · 연애인: 1승 0패 (100.0%) · 규리야: 2승 0패 (100.0%) · 빵리나: 1승 0패 (100.0%) · 쥬나: 1승 0패 (100.0%) · 슬아: 1승 0패 (100.0%) · 렘레미: 0승 1패 (0.0%) · 라미: 0승 1패 (0.0%) · 파찌: 1승 0패 (100.0%) · 하리: 0승 1패 (0.0%) · 사랑e: 1승 0패 (100.0%) / 대학 - 요닝: 0승 2패 (0.0%) · 공다츠: 0승 1패 (0.0%) · 쥬나: 0승 1패 (0.0%) · 오조은: 0승 1패 (0.0%) · 나무늘봉순: 0승 1패 (0.0%) · 소심: 2승 0패 (100.0%) / 미니 - 공다츠: 1승 1패 (50.0%) · 늑대채린: 2승 3패 (40.0%) · 소심: 6승 4패 (60.0%) · 빵리나: 0승 1패 (0.0%) · 림예이: 1승 0패 (100.0%) · 찌킹: 0승 1패 (0.0%) · 햇살: 2승 0패 (100.0%) · 오조은: 1승 1패 (50.0%) · 박듀듀: 3승 1패 (75.0%) · 파찌: 3승 3패 (50.0%) · 뚜미: 1승 4패 (20.0%) · 카히리: 0승 1패 (0.0%) · 김뽀뇨: 1승 0패 (100.0%) · 히엉: 0승 1패 (0.0%) · 나무늘봉순: 1승 1패 (50.0%) · 나예리: 3승 2패 (60.0%) · 지두두: 0승 2패 (0.0%) · 상어녀: 2승 0패 (100.0%) · 디임: 0승 2패 (0.0%) · 초롱빡: 1승 2패 (33.3%) · 구보라: 1승 0패 (100.0%) · 라미: 0승 1패 (0.0%) · 사랑e: 1승 0패 (100.0%) / CK - 나예리: 4승 1패 (80.0%) · 앵지: 2승 0패 (100.0%) · 수입뿌드: 0승 1패 (0.0%) · 카히리: 1승 0패 (100.0%) · 다예: 1승 0패 (100.0%) · 햇살: 2승 0패 (100.0%) · 구보라: 4승 0패 (100.0%) · 김인호: 1승 0패 (100.0%) · 지두두: 2승 2패 (50.0%)</v>
      </c>
      <c r="J7" s="54" t="str">
        <v>폴리포이드: 12승 9패 (57.1%) · 시타델: 1승 0패 (100.0%) · 버미어: 2승 2패 (50.0%) · 라데온: 21승 24패 (46.7%) · 도미네이터: 3승 2패 (60.0%) · 데자뷰: 5승 2패 (71.4%) · 이클립스: 6승 1패 (85.7%) · 리트머스: 0승 1패 (0.0%) · 녹아웃: 9승 3패 (75.0%) · 실피드: 1승 2패 (33.3%) · 오디세이: 3승 1패 (75.0%)</v>
      </c>
    </row>
    <row r="8" spans="1:13" ht="24" customHeight="1" thickTop="1" thickBot="1" x14ac:dyDescent="0.45">
      <c r="A8" s="15" t="str">
        <v>임조이</v>
      </c>
      <c r="B8" s="3" t="str">
        <v>10승 6패 (62.5%)</v>
      </c>
      <c r="C8" s="3" t="str">
        <v>4승 7패 (36.4%)</v>
      </c>
      <c r="D8" s="3" t="str">
        <v>19승 22패 (46.3%)</v>
      </c>
      <c r="E8" s="3" t="str">
        <v>23승 18패 (56.1%)</v>
      </c>
      <c r="F8" s="3" t="str">
        <v>23승 16패 (59.0%)</v>
      </c>
      <c r="G8" s="3" t="str">
        <v>7승 6패 (53.8%)</v>
      </c>
      <c r="H8" s="3" t="str">
        <v>19승 28패 (40.4%)</v>
      </c>
      <c r="I8" s="3" t="str">
        <v>대회 - 내가먼지: 2승 0패 (100.0%) · 엄보리: 1승 2패 (33.3%) · 남수댕: 0승 1패 (0.0%) · 안부: 0승 1패 (0.0%) · 김채이: 2승 0패 (100.0%) · 선정은: 1승 0패 (100.0%) · 진유성: 1승 1패 (50.0%) · 키모야: 1승 0패 (100.0%) · 짱다: 1승 0패 (100.0%) · 김태향: 1승 0패 (100.0%) · 밍가: 0승 1패 (0.0%) / 대학 - 진자림: 1승 0패 (100.0%) · 시먼지: 0승 1패 (0.0%) · 뷰러: 0승 1패 (0.0%) · 짱다: 0승 1패 (0.0%) · 남수댕: 0승 1패 (0.0%) · 연블비: 1승 0패 (100.0%) · 선정은: 0승 1패 (0.0%) · 진유성: 0승 1패 (0.0%) · 김채이: 1승 0패 (100.0%) · 모리: 0승 1패 (0.0%) · 려원: 1승 0패 (100.0%) / 미니 - 주콩이: 2승 0패 (100.0%) · 먼진: 1승 1패 (50.0%) · 양유정: 0승 2패 (0.0%) · 진유성: 1승 2패 (33.3%) · 으냉이: 0승 1패 (0.0%) · 빵미유: 0승 2패 (0.0%) · 남수댕: 1승 3패 (25.0%) · 히댕: 0승 1패 (0.0%) · 김무아: 2승 0패 (100.0%) · 백갑숙: 0승 2패 (0.0%) · 김설: 1승 1패 (50.0%) · 귀요민정: 1승 0패 (100.0%) · 엄보리: 1승 1패 (50.0%) · 비타밍: 2승 0패 (100.0%) · 밍가: 0승 2패 (0.0%) · 김채이: 2승 0패 (100.0%) · 연블비: 1승 0패 (100.0%) · 수니양: 1승 0패 (100.0%) · 모리: 0승 1패 (0.0%) · 메옹: 1승 0패 (100.0%) · 선정은: 0승 1패 (0.0%) · 려원: 2승 1패 (66.7%) · 정서린: 0승 1패 (0.0%) / CK - 효짱: 2승 0패 (100.0%) · 비타밍: 8승 6패 (57.1%) · 메옹: 1승 1패 (50.0%) · 밍가: 1승 0패 (100.0%) · 핑핑: 1승 1패 (50.0%) · 진유성: 1승 5패 (16.7%) · 모리: 1승 0패 (100.0%) · 이아깽: 1승 1패 (50.0%) · 치리: 1승 0패 (100.0%) · 먼진: 0승 1패 (0.0%) · 김무아: 1승 0패 (100.0%) · 선정은: 2승 1패 (66.7%) · 이아꺵: 0승 1패 (0.0%) · 려원: 3승 1패 (75.0%)</v>
      </c>
      <c r="J8" s="3" t="str">
        <v>투혼: 2승 1패 (66.7%) · 폴리포이드: 18승 13패 (58.1%) · 버미어: 1승 0패 (100.0%) · 라데온: 11승 14패 (44.0%) · 데자뷰: 5승 8패 (38.5%) · 이클립스: 0승 3패 (0.0%) · 녹아웃: 10승 9패 (52.6%) · 실피드: 7승 2패 (77.8%) · 오디세이: 1승 3패 (25.0%) · 애티튜드: 1승 0패 (100.0%)</v>
      </c>
    </row>
    <row r="9" spans="1:13" ht="24" customHeight="1" thickTop="1" thickBot="1" x14ac:dyDescent="0.45">
      <c r="A9" s="7" t="str">
        <v>킹지</v>
      </c>
      <c r="B9" s="54" t="str">
        <v/>
      </c>
      <c r="C9" s="54" t="str">
        <v/>
      </c>
      <c r="D9" s="54" t="str">
        <v/>
      </c>
      <c r="E9" s="54" t="str">
        <v/>
      </c>
      <c r="F9" s="54" t="str">
        <v/>
      </c>
      <c r="G9" s="54" t="str">
        <v/>
      </c>
      <c r="H9" s="54" t="str">
        <v/>
      </c>
      <c r="I9" s="54" t="str">
        <v/>
      </c>
      <c r="J9" s="54" t="str">
        <v/>
      </c>
    </row>
    <row r="10" spans="1:13" ht="24" customHeight="1" thickTop="1" thickBot="1" x14ac:dyDescent="0.45">
      <c r="A10" s="15" t="str">
        <v>효짱</v>
      </c>
      <c r="B10" s="3" t="str">
        <v>2승 3패 (40.0%)</v>
      </c>
      <c r="C10" s="3" t="str">
        <v>1승 1패 (50.0%)</v>
      </c>
      <c r="D10" s="3" t="str">
        <v>8승 8패 (50.0%)</v>
      </c>
      <c r="E10" s="3" t="str">
        <v>1승 5패 (16.7%)</v>
      </c>
      <c r="F10" s="3" t="str">
        <v>10승 8패 (55.6%)</v>
      </c>
      <c r="G10" s="3" t="str">
        <v>1승 5패 (16.7%)</v>
      </c>
      <c r="H10" s="3" t="str">
        <v>1승 2패 (33.3%)</v>
      </c>
      <c r="I10" s="3" t="str">
        <v>대회 - 수니양: 1승 0패 (100.0%) · 비타밍: 1승 0패 (100.0%) · 으냉이: 0승 1패 (0.0%) · 제티: 0승 1패 (0.0%) · 남수댕: 0승 1패 (0.0%) / 대학 - 브희: 1승 0패 (100.0%) · 2라니: 0승 1패 (0.0%) / 미니 - 2라니: 0승 2패 (0.0%) · 김말랑: 2승 0패 (100.0%) · 시먼지: 1승 0패 (100.0%) · 내가먼지: 0승 1패 (0.0%) · 선정은: 1승 2패 (33.3%) · 메옹: 0승 2패 (0.0%) · 혜지연: 2승 0패 (100.0%) · 빵미유: 1승 0패 (100.0%) · 핑핑: 0승 1패 (0.0%) · 사사삼: 1승 0패 (100.0%) / CK - 임조이: 0승 2패 (0.0%) · 비타밍: 0승 1패 (0.0%) · 내가먼지: 1승 0패 (100.0%) · 핑핑: 0승 1패 (0.0%) · 엄보리: 0승 1패 (0.0%)</v>
      </c>
      <c r="J10" s="3" t="str">
        <v>투혼: 1승 2패 (33.3%) · 버미어: 2승 0패 (100.0%) · 폴리포이드: 5승 6패 (45.5%) · 라데온: 1승 2패 (33.3%) · 이클립스: 1승 4패 (20.0%) · 데자뷰: 2승 3패 (40.0%)</v>
      </c>
    </row>
    <row r="11" spans="1:13" ht="24" customHeight="1" thickTop="1" thickBot="1" x14ac:dyDescent="0.45">
      <c r="A11" s="7" t="str">
        <v>한쪼니</v>
      </c>
      <c r="B11" s="54" t="str">
        <v>5승 5패 (50.0%)</v>
      </c>
      <c r="C11" s="54" t="str">
        <v>0승 1패 (0.0%)</v>
      </c>
      <c r="D11" s="54" t="str">
        <v>4승 10패 (28.6%)</v>
      </c>
      <c r="E11" s="54" t="str">
        <v>1승 4패 (20.0%)</v>
      </c>
      <c r="F11" s="54" t="str">
        <v>3승 1패 (75.0%)</v>
      </c>
      <c r="G11" s="54" t="str">
        <v>4승 16패 (20.0%)</v>
      </c>
      <c r="H11" s="54" t="str">
        <v>3승 1패 (75.0%)</v>
      </c>
      <c r="I11" s="54" t="str">
        <v>대회 - 윤진: 1승 0패 (100.0%) · 오리꿍: 0승 1패 (0.0%) · 하루묭: 1승 0패 (100.0%) · 김말랑: 1승 0패 (100.0%) · 수니양: 1승 0패 (100.0%) · 뷰러: 0승 1패 (0.0%) · 또해영: 0승 1패 (0.0%) · 먼진: 1승 1패 (50.0%) · 예빈: 0승 1패 (0.0%) / 대학 - 오리꿍: 0승 1패 (0.0%) / 미니 - 엘퀸: 0승 1패 (0.0%) · 은서: 1승 1패 (50.0%) · 예빈: 1승 1패 (50.0%) · 쟈닌: 1승 1패 (50.0%) · 핑핑: 0승 2패 (0.0%) · 옥이: 1승 1패 (50.0%) · 뷰러: 0승 1패 (0.0%) · 먼진: 0승 2패 (0.0%) / CK - 컴퓨터3: 0승 1패 (0.0%) · 막내현진: 0승 1패 (0.0%) · 핑핑: 0승 2패 (0.0%) · 히추: 1승 0패 (100.0%)</v>
      </c>
      <c r="J11" s="54" t="str">
        <v>투혼: 0승 1패 (0.0%) · 폴리포이드: 2승 8패 (20.0%) · 데자뷰: 1승 7패 (12.5%) · 라데온: 3승 2패 (60.0%) · 이클립스: 4승 2패 (66.7%)</v>
      </c>
    </row>
    <row r="12" spans="1:13" ht="24" customHeight="1" thickTop="1" thickBot="1" x14ac:dyDescent="0.45">
      <c r="A12" s="15" t="str">
        <v>몽군</v>
      </c>
      <c r="B12" s="3" t="str">
        <v>1승 0패 (100.0%)</v>
      </c>
      <c r="C12" s="3" t="str">
        <v>1승 1패 (50.0%)</v>
      </c>
      <c r="D12" s="3" t="str">
        <v>1승 1패 (50.0%)</v>
      </c>
      <c r="E12" s="3" t="str">
        <v>6승 5패 (54.5%)</v>
      </c>
      <c r="F12" s="3" t="str">
        <v>1승 0패 (100.0%)</v>
      </c>
      <c r="G12" s="3" t="str">
        <v>3승 2패 (60.0%)</v>
      </c>
      <c r="H12" s="3" t="str">
        <v>5승 4패 (55.6%)</v>
      </c>
      <c r="I12" s="3" t="str">
        <v>대회 - 이영한: 1승 0패 (100.0%) / 대학 - 원선재: 0승 1패 (0.0%) · 전태양: 1승 0패 (100.0%) / 미니 - 홍덕: 1승 1패 (50.0%) / CK - 박준오: 2승 0패 (100.0%) · 정윤종: 0승 1패 (0.0%) · 원선재: 1승 0패 (100.0%) · 김경모: 0승 1패 (0.0%) · 김윤중: 3승 2패 (60.0%) · 이영한: 0승 1패 (0.0%)</v>
      </c>
      <c r="J12" s="3" t="str">
        <v>라데온: 4승 0패 (100.0%) · 판테온: 0승 1패 (0.0%) · 킥백: 1승 1패 (50.0%) · 데자뷰: 2승 2패 (50.0%) · 민스트럴: 0승 1패 (0.0%) · 폴스타: 2승 0패 (100.0%) · 이클립스: 0승 2패 (0.0%)</v>
      </c>
    </row>
    <row r="13" spans="1:13" ht="24" customHeight="1" thickTop="1" thickBot="1" x14ac:dyDescent="0.45">
      <c r="A13" s="7" t="str">
        <v>모리</v>
      </c>
      <c r="B13" s="54" t="str">
        <v>3승 7패 (30.0%)</v>
      </c>
      <c r="C13" s="54" t="str">
        <v>1승 4패 (20.0%)</v>
      </c>
      <c r="D13" s="54" t="str">
        <v>32승 15패 (68.1%)</v>
      </c>
      <c r="E13" s="54" t="str">
        <v>6승 6패 (50.0%)</v>
      </c>
      <c r="F13" s="54" t="str">
        <v>3승 3패 (50.0%)</v>
      </c>
      <c r="G13" s="54" t="str">
        <v>20승 8패 (71.4%)</v>
      </c>
      <c r="H13" s="54" t="str">
        <v>17승 19패 (47.2%)</v>
      </c>
      <c r="I13" s="54" t="str">
        <v>대회 - 얌쭈: 1승 0패 (100.0%) · 진유성: 1승 0패 (100.0%) · 갓지니: 0승 1패 (0.0%) · 엄보리: 1승 1패 (50.0%) · 박하악: 0승 1패 (0.0%) · 내가먼지: 0승 1패 (0.0%) · 빵미유: 0승 1패 (0.0%) · 제티: 0승 2패 (0.0%) / 대학 - 백갑숙: 0승 1패 (0.0%) · 진유성: 0승 1패 (0.0%) · 이아깽: 0승 1패 (0.0%) · 남수댕: 0승 1패 (0.0%) · 2라니: 1승 0패 (100.0%) / 미니 - 짱다: 2승 0패 (100.0%) · 남수댕: 0승 2패 (0.0%) · 갓지니: 0승 2패 (0.0%) · 빵미유: 2승 1패 (66.7%) · 얌쭈: 3승 1패 (75.0%) · 귀요민정: 1승 1패 (50.0%) · 밍도릿: 0승 1패 (0.0%) · 백갑숙: 2승 1패 (66.7%) · 따뜻: 1승 1패 (50.0%) · 김채이: 2승 2패 (50.0%) · 2라니: 2승 0패 (100.0%) · 사사삼: 1승 1패 (50.0%) · 핑핑: 3승 0패 (100.0%) · 메옹: 1승 0패 (100.0%) · 뷰러: 5승 1패 (83.3%) · 엄보리: 1승 0패 (100.0%) · 수니양: 1승 0패 (100.0%) · 양유정: 0승 1패 (0.0%) · 예빈: 2승 0패 (100.0%) · 밍가: 1승 0패 (100.0%) · 제티: 2승 0패 (100.0%) / CK - 치리: 1승 1패 (50.0%) · 비타밍: 1승 1패 (50.0%) · 김채이: 0승 1패 (0.0%) · 핑핑: 0승 1패 (0.0%) · 엄보리: 1승 0패 (100.0%) · 임조이: 0승 1패 (0.0%) · 진유성: 1승 0패 (100.0%) · 양유정: 1승 1패 (50.0%) · 막내현진: 1승 0패 (100.0%)</v>
      </c>
      <c r="J13" s="54" t="str">
        <v>버미어: 1승 2패 (33.3%) · 라데온: 10승 9패 (52.6%) · 폴리포이드: 10승 7패 (58.8%) · 도미네이터: 2승 2패 (50.0%) · 데자뷰: 7승 6패 (53.8%) · 이클립스: 2승 4패 (33.3%) · 리트머스: 7승 2패 (77.8%) · 녹아웃: 3승 0패 (100.0%)</v>
      </c>
    </row>
    <row r="14" spans="1:13" ht="24" customHeight="1" thickTop="1" thickBot="1" x14ac:dyDescent="0.45">
      <c r="A14" s="15" t="str">
        <v>치리</v>
      </c>
      <c r="B14" s="3" t="str">
        <v>11승 7패 (61.1%)</v>
      </c>
      <c r="C14" s="3" t="str">
        <v>6승 4패 (60.0%)</v>
      </c>
      <c r="D14" s="3" t="str">
        <v>32승 12패 (72.7%)</v>
      </c>
      <c r="E14" s="3" t="str">
        <v>14승 12패 (53.8%)</v>
      </c>
      <c r="F14" s="3" t="str">
        <v>12승 20패 (37.5%)</v>
      </c>
      <c r="G14" s="3" t="str">
        <v>16승 3패 (84.2%)</v>
      </c>
      <c r="H14" s="3" t="str">
        <v>29승 8패 (78.4%)</v>
      </c>
      <c r="I14" s="3" t="str">
        <v>대회 - 갓지니: 1승 0패 (100.0%) · 선정은: 1승 1패 (50.0%) · 밍도릿: 2승 0패 (100.0%) · 김채이: 0승 1패 (0.0%) · 연수: 0승 1패 (0.0%) · 키링: 0승 1패 (0.0%) · 시녕뭉: 1승 1패 (50.0%) · 김설: 2승 0패 (100.0%) · 주하랑: 1승 0패 (100.0%) · 소주양: 0승 1패 (0.0%) · 비재희: 1승 0패 (100.0%) · 주서리: 1승 0패 (100.0%) · 설둥이: 1승 0패 (100.0%) · 내가먼지: 0승 1패 (0.0%) / 대학 - 김채이: 1승 0패 (100.0%) · 키모야: 1승 0패 (100.0%) · 으냉이: 1승 1패 (50.0%) · 하두링: 1승 0패 (100.0%) · 예실: 1승 0패 (100.0%) · 오하얀: 0승 2패 (0.0%) · 최세상: 0승 1패 (0.0%) · 남수댕: 1승 0패 (100.0%) / 미니 - 남수댕: 3승 1패 (75.0%) · 짱다: 1승 2패 (33.3%) · 밍도릿: 2승 0패 (100.0%) · 선정은: 2승 0패 (100.0%) · 링가: 0승 1패 (0.0%) · 히댕: 1승 0패 (100.0%) · 백갑숙: 2승 0패 (100.0%) · 진유성: 3승 0패 (100.0%) · 김설: 2승 0패 (100.0%) · 안부: 1승 0패 (100.0%) · 비재희: 1승 2패 (33.3%) · 내가먼지: 0승 1패 (0.0%) · 하두링: 1승 0패 (100.0%) · 슈슈: 2승 0패 (100.0%) · 유이: 2승 2패 (50.0%) · 최세상: 1승 1패 (50.0%) · 라운: 2승 0패 (100.0%) · 라운P: 1승 0패 (100.0%) · 깨림이: 1승 2패 (33.3%) · 설둥이: 2승 0패 (100.0%) · 오하얀: 1승 0패 (100.0%) · 삐약삐약: 1승 0패 (100.0%) / CK - 모리: 1승 1패 (50.0%) · 연수: 0승 1패 (0.0%) · 하두링: 0승 1패 (0.0%) · 하랑e: 1승 0패 (100.0%) · 주하랑: 2승 1패 (66.7%) · 뚜비: 2승 3패 (40.0%) · 하랑이: 0승 1패 (0.0%) · 임조이: 0승 1패 (0.0%) · 라운: 2승 0패 (100.0%) · 슈슈: 1승 0패 (100.0%) · 깨림이: 1승 0패 (100.0%) · 소주양: 2승 1패 (66.7%) · 찌킹: 1승 0패 (100.0%) · 오하얀: 1승 1패 (50.0%) · 유이: 0승 1패 (0.0%)</v>
      </c>
      <c r="J14" s="3" t="str">
        <v>폴리포이드: 24승 9패 (72.7%) · 라데온: 16승 14패 (53.3%) · 버미어: 1승 1패 (50.0%) · 데자뷰: 6승 4패 (60.0%) · 폴스타: 0승 1패 (0.0%) · 리트머스: 3승 0패 (100.0%) · 녹아웃: 12승 4패 (75.0%) · 실피드: 0승 1패 (0.0%) · 오디세이: 0승 1패 (0.0%) · 애티튜드: 1승 0패 (100.0%)</v>
      </c>
    </row>
    <row r="15" spans="1:13" ht="24" customHeight="1" thickTop="1" thickBot="1" x14ac:dyDescent="0.45">
      <c r="A15" s="7" t="str">
        <v>강덕구</v>
      </c>
      <c r="B15" s="54" t="str">
        <v/>
      </c>
      <c r="C15" s="54" t="str">
        <v>0승 2패 (0.0%)</v>
      </c>
      <c r="D15" s="54" t="str">
        <v/>
      </c>
      <c r="E15" s="54" t="str">
        <v>1승 1패 (50.0%)</v>
      </c>
      <c r="F15" s="54" t="str">
        <v/>
      </c>
      <c r="G15" s="54" t="str">
        <v/>
      </c>
      <c r="H15" s="54" t="str">
        <v>0승 3패 (0.0%)</v>
      </c>
      <c r="I15" s="54" t="str">
        <v>대학 - 주서리: 0승 1패 (0.0%) · 뿌리: 0승 1패 (0.0%) / CK - 강새이: 0승 1패 (0.0%) · 졈니: 1승 0패 (100.0%)</v>
      </c>
      <c r="J15" s="54" t="str">
        <v>라데온: 0승 1패 (0.0%) · 폴리포이드: 0승 2패 (0.0%) · 버미어: 1승 0패 (100.0%)</v>
      </c>
    </row>
    <row r="16" spans="1:13" ht="24" customHeight="1" thickTop="1" thickBot="1" x14ac:dyDescent="0.45">
      <c r="A16" s="15" t="str">
        <v>수입뿌드</v>
      </c>
      <c r="B16" s="3" t="str">
        <v/>
      </c>
      <c r="C16" s="3" t="str">
        <v/>
      </c>
      <c r="D16" s="3" t="str">
        <v/>
      </c>
      <c r="E16" s="3" t="str">
        <v>5승 3패 (62.5%)</v>
      </c>
      <c r="F16" s="3" t="str">
        <v>3승 2패 (60.0%)</v>
      </c>
      <c r="G16" s="3" t="str">
        <v/>
      </c>
      <c r="H16" s="3" t="str">
        <v/>
      </c>
      <c r="I16" s="3" t="str">
        <v>CK - 따냥잉: 3승 1패 (75.0%) · 다린: 0승 1패 (0.0%) · 세나: 1승 0패 (100.0%) · 토마토: 1승 0패 (100.0%) · 파도튜브: 0승 1패 (0.0%)</v>
      </c>
      <c r="J16" s="3" t="str">
        <v>폴리포이드: 2승 2패 (50.0%) · 버미어: 1승 0패 (100.0%) · 라데온: 1승 1패 (50.0%) · 이클립스: 1승 0패 (100.0%)</v>
      </c>
    </row>
    <row r="17" spans="1:10" ht="24" customHeight="1" thickTop="1" thickBot="1" x14ac:dyDescent="0.45">
      <c r="A17" s="7" t="str">
        <v>박준오</v>
      </c>
      <c r="B17" s="54" t="str">
        <v>1승 0패 (100.0%)</v>
      </c>
      <c r="C17" s="54" t="str">
        <v/>
      </c>
      <c r="D17" s="54" t="str">
        <v>0승 1패 (0.0%)</v>
      </c>
      <c r="E17" s="54" t="str">
        <v>9승 13패 (40.9%)</v>
      </c>
      <c r="F17" s="54" t="str">
        <v>3승 5패 (37.5%)</v>
      </c>
      <c r="G17" s="54" t="str">
        <v>1승 0패 (100.0%)</v>
      </c>
      <c r="H17" s="54" t="str">
        <v>3승 5패 (37.5%)</v>
      </c>
      <c r="I17" s="54" t="str">
        <v>대회 - 이영한: 1승 0패 (100.0%) / 미니 - 김윤중: 0승 1패 (0.0%) / CK - 신상문: 0승 2패 (0.0%) · 사테: 1승 3패 (25.0%) · 송병구: 0승 1패 (0.0%) · 정윤종: 1승 2패 (33.3%) · 임진묵: 0승 1패 (0.0%) · 구성훈: 2승 0패 (100.0%) · 윤용태: 2승 1패 (66.7%) · 홍덕: 1승 0패 (100.0%) · 박수범: 2승 0패 (100.0%) · 진영화: 0승 2패 (0.0%) · 박성균: 0승 1패 (0.0%)</v>
      </c>
      <c r="J17" s="54" t="str">
        <v>라데온: 3승 1패 (75.0%) · 킥백: 0승 2패 (0.0%) · 메트로폴리스: 2승 3패 (40.0%) · 폴스타: 1승 1패 (50.0%) · 리트머스: 1승 1패 (50.0%) · 도미네이터: 1승 0패 (100.0%) · 녹아웃: 1승 2패 (33.3%) · 실피드: 0승 1패 (0.0%) · 옥타곤: 1승 0패 (100.0%) · 매치포인트: 0승 1패 (0.0%) · 아이올로스: 0승 1패 (0.0%) · 컬러리스: 0승 1패 (0.0%)</v>
      </c>
    </row>
    <row r="18" spans="1:10" ht="24" customHeight="1" thickTop="1" thickBot="1" x14ac:dyDescent="0.45">
      <c r="A18" s="15" t="str">
        <v>정윤종</v>
      </c>
      <c r="B18" s="3" t="str">
        <v>0승 2패 (0.0%)</v>
      </c>
      <c r="C18" s="3" t="str">
        <v/>
      </c>
      <c r="D18" s="3" t="str">
        <v>3승 0패 (100.0%)</v>
      </c>
      <c r="E18" s="3" t="str">
        <v>6승 5패 (54.5%)</v>
      </c>
      <c r="F18" s="3" t="str">
        <v>6승 3패 (66.7%)</v>
      </c>
      <c r="G18" s="3" t="str">
        <v>0승 2패 (0.0%)</v>
      </c>
      <c r="H18" s="3" t="str">
        <v/>
      </c>
      <c r="I18" s="3" t="str">
        <v>대회 - 이재호: 0승 2패 (0.0%) / 미니 - 이영호: 2승 0패 (100.0%) · 몽군: 1승 0패 (100.0%) / CK - 몽군: 1승 0패 (100.0%) · 유영진: 1승 0패 (100.0%) · 조일장: 0승 2패 (0.0%) · 이재호: 0승 1패 (0.0%) · 박준오: 2승 1패 (66.7%) · 김지성: 1승 0패 (100.0%) · 황병영: 0승 1패 (0.0%) · 정영재: 1승 0패 (100.0%)</v>
      </c>
      <c r="J18" s="3" t="str">
        <v>킥백: 1승 0패 (100.0%) · 민스트럴: 1승 0패 (100.0%) · 도미네이터: 2승 2패 (50.0%) · 폴스타: 1승 1패 (50.0%) · 폴리포이드: 0승 2패 (0.0%) · 라데온: 2승 1패 (66.7%) · 이클립스: 0승 1패 (0.0%) · 메트로폴리스: 1승 0패 (100.0%) · 녹아웃: 1승 0패 (100.0%)</v>
      </c>
    </row>
    <row r="19" spans="1:10" ht="24" customHeight="1" thickTop="1" thickBot="1" x14ac:dyDescent="0.45">
      <c r="A19" s="7" t="str">
        <v>세나</v>
      </c>
      <c r="B19" s="54" t="str">
        <v>6승 5패 (54.5%)</v>
      </c>
      <c r="C19" s="54" t="str">
        <v/>
      </c>
      <c r="D19" s="54" t="str">
        <v>8승 5패 (61.5%)</v>
      </c>
      <c r="E19" s="54" t="str">
        <v>2승 2패 (50.0%)</v>
      </c>
      <c r="F19" s="54" t="str">
        <v>1승 0패 (100.0%)</v>
      </c>
      <c r="G19" s="54" t="str">
        <v>9승 10패 (47.4%)</v>
      </c>
      <c r="H19" s="54" t="str">
        <v>6승 1패 (85.7%)</v>
      </c>
      <c r="I19" s="54" t="str">
        <v>대회 - 남덕선: 1승 1패 (50.0%) · 하블리: 1승 1패 (50.0%) · 또봉순: 0승 2패 (0.0%) · 애공: 1승 1패 (50.0%) · 혜로로: 1승 0패 (100.0%) · 우힝: 1승 0패 (100.0%) · 다나짱: 1승 0패 (100.0%) / 미니 - 하블리: 1승 2패 (33.3%) · 또봉순: 2승 3패 (40.0%) · 혜로로: 2승 0패 (100.0%) · 다나짱: 3승 0패 (100.0%) / CK - 다나짱: 1승 0패 (100.0%) · 또봉순: 1승 1패 (50.0%) · 수입뿌드: 0승 1패 (0.0%)</v>
      </c>
      <c r="J19" s="54" t="str">
        <v>폴리포이드: 5승 4패 (55.6%) · 데자뷰: 2승 1패 (66.7%) · 도미네이터: 1승 3패 (25.0%) · 이클립스: 4승 1패 (80.0%) · 라데온: 4승 3패 (57.1%)</v>
      </c>
    </row>
    <row r="20" spans="1:10" ht="24" customHeight="1" thickTop="1" thickBot="1" x14ac:dyDescent="0.45">
      <c r="A20" s="15" t="str">
        <v>송혜림</v>
      </c>
      <c r="B20" s="3" t="str">
        <v/>
      </c>
      <c r="C20" s="3" t="str">
        <v/>
      </c>
      <c r="D20" s="3" t="str">
        <v/>
      </c>
      <c r="E20" s="3" t="str">
        <v/>
      </c>
      <c r="F20" s="3" t="str">
        <v/>
      </c>
      <c r="G20" s="3" t="str">
        <v/>
      </c>
      <c r="H20" s="3" t="str">
        <v/>
      </c>
      <c r="I20" s="3" t="str">
        <v/>
      </c>
      <c r="J20" s="3" t="str">
        <v/>
      </c>
    </row>
    <row r="21" spans="1:10" ht="24" customHeight="1" thickTop="1" thickBot="1" x14ac:dyDescent="0.45">
      <c r="A21" s="7" t="str">
        <v>진땅콩 T</v>
      </c>
      <c r="B21" s="54" t="str">
        <v/>
      </c>
      <c r="C21" s="54" t="str">
        <v/>
      </c>
      <c r="D21" s="54" t="str">
        <v/>
      </c>
      <c r="E21" s="54" t="str">
        <v/>
      </c>
      <c r="F21" s="54" t="str">
        <v/>
      </c>
      <c r="G21" s="54" t="str">
        <v/>
      </c>
      <c r="H21" s="54" t="str">
        <v/>
      </c>
      <c r="I21" s="54" t="str">
        <v/>
      </c>
      <c r="J21" s="54" t="str">
        <v/>
      </c>
    </row>
    <row r="22" spans="1:10" ht="24" customHeight="1" thickTop="1" thickBot="1" x14ac:dyDescent="0.45">
      <c r="A22" s="15" t="str">
        <v>다예</v>
      </c>
      <c r="B22" s="3" t="str">
        <v>9승 7패 (56.3%)</v>
      </c>
      <c r="C22" s="3" t="str">
        <v/>
      </c>
      <c r="D22" s="3" t="str">
        <v>10승 15패 (40.0%)</v>
      </c>
      <c r="E22" s="3" t="str">
        <v>3승 2패 (60.0%)</v>
      </c>
      <c r="F22" s="3" t="str">
        <v>7승 6패 (53.8%)</v>
      </c>
      <c r="G22" s="3" t="str">
        <v>1승 3패 (25.0%)</v>
      </c>
      <c r="H22" s="3" t="str">
        <v>14승 14패 (50.0%)</v>
      </c>
      <c r="I22" s="3" t="str">
        <v>대회 - 박듀듀: 1승 1패 (50.0%) · 히엉: 0승 1패 (0.0%) · 뚜미: 2승 0패 (100.0%) · 구보라: 1승 0패 (100.0%) · 모꿀몬: 0승 1패 (0.0%) · 소심: 2승 0패 (100.0%) · 연두: 1승 0패 (100.0%) · 기나: 1승 1패 (50.0%) · 최하니: 1승 0패 (100.0%) · 지두두: 0승 1패 (0.0%) · 나무늘봉순: 0승 1패 (0.0%) · 카히리: 0승 1패 (0.0%) / 미니 - 기나: 2승 5패 (28.6%) · 최하니: 0승 2패 (0.0%) · 구보라: 3승 1패 (75.0%) · 히엉: 0승 2패 (0.0%) · 유복실: 2승 1패 (66.7%) · 뚜미: 1승 1패 (50.0%) · 카히리: 0승 1패 (0.0%) · 파찌: 1승 0패 (100.0%) · 슬돌이: 1승 0패 (100.0%) · 박듀듀: 0승 2패 (0.0%) / CK - 나예리: 2승 0패 (100.0%) · 김뽀뇨: 1승 0패 (100.0%) · 오리3: 0승 1패 (0.0%) · 토마토: 0승 1패 (0.0%)</v>
      </c>
      <c r="J22" s="3" t="str">
        <v>이클립스: 4승 5패 (44.4%) · 라데온: 8승 8패 (50.0%) · 폴리포이드: 3승 4패 (42.9%) · 데자뷰: 6승 3패 (66.7%) · 리트머스: 1승 2패 (33.3%) · 녹아웃: 0승 2패 (0.0%)</v>
      </c>
    </row>
    <row r="23" spans="1:10" ht="24" customHeight="1" thickTop="1" thickBot="1" x14ac:dyDescent="0.45">
      <c r="A23" s="7" t="str">
        <v>막내현진</v>
      </c>
      <c r="B23" s="54" t="str">
        <v>2승 2패 (50.0%)</v>
      </c>
      <c r="C23" s="54" t="str">
        <v>0승 2패 (0.0%)</v>
      </c>
      <c r="D23" s="54" t="str">
        <v>2승 11패 (15.4%)</v>
      </c>
      <c r="E23" s="54" t="str">
        <v>3승 2패 (60.0%)</v>
      </c>
      <c r="F23" s="54" t="str">
        <v>1승 5패 (16.7%)</v>
      </c>
      <c r="G23" s="54" t="str">
        <v>4승 9패 (30.8%)</v>
      </c>
      <c r="H23" s="54" t="str">
        <v>0승 2패 (0.0%)</v>
      </c>
      <c r="I23" s="54" t="str">
        <v>대회 - 빵지니: 1승 0패 (100.0%) · 오리꿍: 1승 0패 (100.0%) · 수니양: 0승 2패 (0.0%) / 대학 - 오리꿍: 0승 2패 (0.0%) / 미니 - 쟈닌: 0승 2패 (0.0%) · 2라니: 1승 0패 (100.0%) · 나능토끼: 0승 2패 (0.0%) · 예빈: 0승 2패 (0.0%) · 또해영: 1승 0패 (100.0%) · 메옹: 0승 1패 (0.0%) · 선정은: 0승 2패 (0.0%) · 효짱: 0승 2패 (0.0%) / CK - 한쪼니: 1승 0패 (100.0%) · 쟈닌: 0승 1패 (0.0%) · 진땅콩: 1승 0패 (100.0%) · 뷰러: 1승 0패 (100.0%) · 모리: 0승 1패 (0.0%)</v>
      </c>
      <c r="J23" s="54" t="str">
        <v>이클립스: 1승 0패 (100.0%) · 폴리포이드: 3승 4패 (42.9%) · 라데온: 2승 7패 (22.2%) · 데자뷰: 1승 3패 (25.0%) · 리트머스: 0승 2패 (0.0%) · 녹아웃: 0승 1패 (0.0%)</v>
      </c>
    </row>
    <row r="24" spans="1:10" ht="24" customHeight="1" thickTop="1" thickBot="1" x14ac:dyDescent="0.45">
      <c r="A24" s="15" t="str">
        <v>지동원</v>
      </c>
      <c r="B24" s="3" t="str">
        <v/>
      </c>
      <c r="C24" s="3" t="str">
        <v/>
      </c>
      <c r="D24" s="3" t="str">
        <v/>
      </c>
      <c r="E24" s="3" t="str">
        <v>16승 16패 (50.0%)</v>
      </c>
      <c r="F24" s="3" t="str">
        <v>0승 2패 (0.0%)</v>
      </c>
      <c r="G24" s="3" t="str">
        <v>7승 5패 (58.3%)</v>
      </c>
      <c r="H24" s="3" t="str">
        <v>7승 3패 (70.0%)</v>
      </c>
      <c r="I24" s="3" t="str">
        <v>CK - 김윤환: 1승 3패 (25.0%) · 이경민: 0승 1패 (0.0%) · 어윤수: 0승 2패 (0.0%) · 진영화: 2승 2패 (50.0%) · 김경모: 0승 1패 (0.0%) · 고석현: 1승 1패 (50.0%) · 장민철: 1승 0패 (100.0%) · 김윤중: 1승 0패 (100.0%) · 윤진규: 1승 0패 (100.0%) · 윤용태: 1승 0패 (100.0%) · 박재혁: 2승 1패 (66.7%) · 이창우: 2승 0패 (100.0%) · 만두호성: 0승 1패 (0.0%) · 박수범: 1승 2패 (33.3%) · 김범수: 0승 1패 (0.0%) · 미후: 0승 1패 (0.0%) · 제이스타: 2승 0패 (100.0%) · 사오슈아이: 1승 0패 (100.0%)</v>
      </c>
      <c r="J24" s="3" t="str">
        <v>라데온: 3승 3패 (50.0%) · 폴스타: 2승 5패 (28.6%) · 도미네이터: 1승 1패 (50.0%) · 리트머스: 1승 0패 (100.0%) · 폴리포이드: 1승 0패 (100.0%) · 실피드: 4승 3패 (57.1%) · 제인도: 2승 2패 (50.0%) · 매치포인트: 2승 0패 (100.0%) · 옥타곤: 0승 1패 (0.0%) · 아이올로스: 0승 1패 (0.0%)</v>
      </c>
    </row>
    <row r="25" spans="1:10" ht="24" customHeight="1" thickTop="1" thickBot="1" x14ac:dyDescent="0.45">
      <c r="A25" s="7" t="str">
        <v>황병영</v>
      </c>
      <c r="B25" s="54" t="str">
        <v>0승 1패 (0.0%)</v>
      </c>
      <c r="C25" s="54" t="str">
        <v/>
      </c>
      <c r="D25" s="54" t="str">
        <v/>
      </c>
      <c r="E25" s="54" t="str">
        <v>9승 10패 (47.4%)</v>
      </c>
      <c r="F25" s="54" t="str">
        <v>0승 1패 (0.0%)</v>
      </c>
      <c r="G25" s="54" t="str">
        <v>5승 7패 (41.7%)</v>
      </c>
      <c r="H25" s="54" t="str">
        <v>0승 1패 (0.0%)</v>
      </c>
      <c r="I25" s="54" t="str">
        <v>대회 - 홍구: 0승 1패 (0.0%) / CK - 김성대: 3승 4패 (42.9%) · 조일장: 3승 1패 (75.0%) · 김정우: 1승 0패 (100.0%) · 정윤종: 1승 0패 (100.0%) · 이제동: 0승 1패 (0.0%) · 송병구: 0승 1패 (0.0%) · 김민철: 1승 2패 (33.3%) · 이재호: 0승 1패 (0.0%)</v>
      </c>
      <c r="J25" s="54" t="str">
        <v>메트로폴리스: 0승 2패 (0.0%) · 라데온: 0승 1패 (0.0%) · 도미네이터: 2승 1패 (66.7%) · 폴리포이드: 1승 0패 (100.0%) · 리트머스: 1승 1패 (50.0%) · 폴스타: 2승 1패 (66.7%) · 애티튜드: 1승 1패 (50.0%) · 녹아웃: 1승 2패 (33.3%) · 매치포인트: 0승 1패 (0.0%) · 실피드: 1승 0패 (100.0%) · 제인도: 0승 1패 (0.0%)</v>
      </c>
    </row>
    <row r="26" spans="1:10" ht="24" customHeight="1" thickTop="1" thickBot="1" x14ac:dyDescent="0.45">
      <c r="A26" s="15" t="str">
        <v>진땅콩</v>
      </c>
      <c r="B26" s="3" t="str">
        <v>0승 4패 (0.0%)</v>
      </c>
      <c r="C26" s="3" t="str">
        <v>2승 3패 (40.0%)</v>
      </c>
      <c r="D26" s="3" t="str">
        <v>4승 3패 (57.1%)</v>
      </c>
      <c r="E26" s="3" t="str">
        <v>7승 7패 (50.0%)</v>
      </c>
      <c r="F26" s="3" t="str">
        <v>3승 5패 (37.5%)</v>
      </c>
      <c r="G26" s="3" t="str">
        <v>8승 8패 (50.0%)</v>
      </c>
      <c r="H26" s="3" t="str">
        <v>1승 3패 (25.0%)</v>
      </c>
      <c r="I26" s="3" t="str">
        <v>대회 - 백원이야: 0승 2패 (0.0%) · 행복짱: 0승 1패 (0.0%) · 엄키키: 0승 1패 (0.0%) / 대학 - 다라츄: 1승 0패 (100.0%) · 밍또얌: 0승 2패 (0.0%) · 권아온: 1승 0패 (100.0%) · 백원이야: 0승 1패 (0.0%) / 미니 - 이지다: 1승 0패 (100.0%) · 다라츄: 1승 0패 (100.0%) · 은조: 1승 1패 (50.0%) · 헤요이: 0승 2패 (0.0%) · 김유나: 1승 0패 (100.0%) / CK - 막내현진: 0승 1패 (0.0%) · 우질: 0승 1패 (0.0%) · 박쭈이: 1승 0패 (100.0%) · 냥냥코기: 0승 2패 (0.0%) · 은조: 3승 0패 (100.0%) · 루다: 1승 1패 (50.0%) · 밤하밍: 1승 2패 (33.3%) · 오세은: 1승 0패 (100.0%)</v>
      </c>
      <c r="J26" s="3" t="str">
        <v>폴리포이드: 6승 9패 (40.0%) · 라데온: 5승 4패 (55.6%) · 실피드: 1승 1패 (50.0%) · 녹아웃: 1승 3패 (25.0%)</v>
      </c>
    </row>
    <row r="27" spans="1:10" ht="24" customHeight="1" thickTop="1" thickBot="1" x14ac:dyDescent="0.45">
      <c r="A27" s="7" t="str">
        <v>두디</v>
      </c>
      <c r="B27" s="54" t="str">
        <v>0승 1패 (0.0%)</v>
      </c>
      <c r="C27" s="54" t="str">
        <v>1승 0패 (100.0%)</v>
      </c>
      <c r="D27" s="54" t="str">
        <v>6승 8패 (42.9%)</v>
      </c>
      <c r="E27" s="54" t="str">
        <v>2승 2패 (50.0%)</v>
      </c>
      <c r="F27" s="54" t="str">
        <v>4승 3패 (57.1%)</v>
      </c>
      <c r="G27" s="54" t="str">
        <v>3승 2패 (60.0%)</v>
      </c>
      <c r="H27" s="54" t="str">
        <v>1승 5패 (16.7%)</v>
      </c>
      <c r="I27" s="54" t="str">
        <v>대회 - 하리: 0승 1패 (0.0%) / 대학 - 오조은: 1승 0패 (100.0%) / 미니 - 림예이: 1승 0패 (100.0%) · 렘레미: 1승 0패 (100.0%) · 하리: 0승 1패 (0.0%) · 최도랑: 1승 1패 (50.0%) · 규리야: 1승 0패 (100.0%) · 빵리나: 0승 2패 (0.0%) · 오조은: 1승 0패 (100.0%) · 정소이: 0승 2패 (0.0%) · 슬아: 1승 0패 (100.0%) · 태영: 0승 2패 (0.0%) / CK - 햇살: 1승 1패 (50.0%) · 오조은: 1승 0패 (100.0%) · 무찌: 0승 1패 (0.0%)</v>
      </c>
      <c r="J27" s="54" t="str">
        <v>라데온: 1승 0패 (100.0%) · 폴리포이드: 5승 2패 (71.4%) · 데자뷰: 2승 3패 (40.0%) · 리트머스: 0승 3패 (0.0%) · 녹아웃: 1승 3패 (25.0%)</v>
      </c>
    </row>
    <row r="28" spans="1:10" ht="24" customHeight="1" thickTop="1" thickBot="1" x14ac:dyDescent="0.45">
      <c r="A28" s="15" t="str">
        <v>조일장</v>
      </c>
      <c r="B28" s="3" t="str">
        <v>0승 2패 (0.0%)</v>
      </c>
      <c r="C28" s="3" t="str">
        <v>0승 1패 (0.0%)</v>
      </c>
      <c r="D28" s="3" t="str">
        <v/>
      </c>
      <c r="E28" s="3" t="str">
        <v>7승 8패 (46.7%)</v>
      </c>
      <c r="F28" s="3" t="str">
        <v>2승 3패 (40.0%)</v>
      </c>
      <c r="G28" s="3" t="str">
        <v>0승 2패 (0.0%)</v>
      </c>
      <c r="H28" s="3" t="str">
        <v>4승 3패 (57.1%)</v>
      </c>
      <c r="I28" s="3" t="str">
        <v>대회 - 조기석: 0승 1패 (0.0%) · 짭제: 0승 1패 (0.0%) / 대학 - 이영호: 0승 1패 (0.0%) / CK - 변현제: 1승 0패 (100.0%) · 황병영: 1승 3패 (25.0%) · 도재욱: 3승 2패 (60.0%) · 장윤철: 0승 1패 (0.0%) · 이재호: 2승 1패 (66.7%) · 김성대: 0승 1패 (0.0%)</v>
      </c>
      <c r="J28" s="3" t="str">
        <v>폴리포이드: 0승 1패 (0.0%) · 폴스타: 1승 3패 (25.0%) · 메트로폴리스: 1승 0패 (100.0%) · 라데온: 1승 1패 (50.0%) · 녹아웃: 1승 2패 (33.3%) · 리트머스: 1승 2패 (33.3%) · 도미네이터: 0승 1패 (0.0%) · 애티튜드: 1승 0패 (100.0%) · 매치포인트: 0승 1패 (0.0%) · 옥타곤: 1승 0패 (100.0%)</v>
      </c>
    </row>
    <row r="29" spans="1:10" ht="24" customHeight="1" thickTop="1" thickBot="1" x14ac:dyDescent="0.45">
      <c r="A29" s="7" t="str">
        <v>주하랑</v>
      </c>
      <c r="B29" s="54" t="str">
        <v>3승 2패 (60.0%)</v>
      </c>
      <c r="C29" s="54" t="str">
        <v>0승 2패 (0.0%)</v>
      </c>
      <c r="D29" s="54" t="str">
        <v>11승 18패 (37.9%)</v>
      </c>
      <c r="E29" s="54" t="str">
        <v>10승 11패 (47.6%)</v>
      </c>
      <c r="F29" s="54" t="str">
        <v>11승 15패 (42.3%)</v>
      </c>
      <c r="G29" s="54" t="str">
        <v>3승 7패 (30.0%)</v>
      </c>
      <c r="H29" s="54" t="str">
        <v>4승 6패 (40.0%)</v>
      </c>
      <c r="I29" s="54" t="str">
        <v>대회 - 링고: 0승 1패 (0.0%) · 단양: 0승 1패 (0.0%) · 깨림이: 1승 0패 (100.0%) · 시녕뭉: 1승 0패 (100.0%) · 최세상: 1승 0패 (100.0%) / 대학 - 오하얀: 0승 2패 (0.0%) / 미니 - 최세상: 0승 4패 (0.0%) · 깨림이: 0승 3패 (0.0%) · 링고: 0승 1패 (0.0%) · 강덕구: 2승 1패 (66.7%) · 유이: 1승 4패 (20.0%) · 금선: 2승 0패 (100.0%) · 꼬니부깅: 1승 0패 (100.0%) · 단양: 0승 1패 (0.0%) · 하랑e: 1승 0패 (100.0%) · 슈슈: 0승 1패 (0.0%) · 예실: 1승 1패 (50.0%) · 삐약삐약: 0승 1패 (0.0%) · 백갑숙: 1승 1패 (50.0%) · 내가먼지: 2승 0패 (100.0%) / CK - 치리: 1승 2패 (33.3%) · 강덕구: 0승 1패 (0.0%) · 소주양: 5승 3패 (62.5%) · 깨림이: 1승 0패 (100.0%) · 슈슈: 0승 1패 (0.0%) · 란란Z: 2승 2패 (50.0%) · 유이: 1승 2패 (33.3%)</v>
      </c>
      <c r="J29" s="54" t="str">
        <v>폴리포이드: 4승 11패 (26.7%) · 폴스타: 1승 0패 (100.0%) · 라데온: 6승 5패 (54.5%) · 데자뷰: 0승 3패 (0.0%) · 녹아웃: 5승 7패 (41.7%) · 리트머스: 1승 0패 (100.0%) · 실피드: 4승 3패 (57.1%) · 오디세이: 2승 4패 (33.3%) · 애티튜드: 1승 0패 (100.0%)</v>
      </c>
    </row>
    <row r="30" spans="1:10" ht="24" customHeight="1" thickTop="1" thickBot="1" x14ac:dyDescent="0.45">
      <c r="A30" s="15" t="str">
        <v>햇살</v>
      </c>
      <c r="B30" s="3" t="str">
        <v>3승 1패 (75.0%)</v>
      </c>
      <c r="C30" s="3" t="str">
        <v>2승 1패 (66.7%)</v>
      </c>
      <c r="D30" s="3" t="str">
        <v>11승 16패 (40.7%)</v>
      </c>
      <c r="E30" s="3" t="str">
        <v>8승 9패 (47.1%)</v>
      </c>
      <c r="F30" s="3" t="str">
        <v>1승 0패 (100.0%)</v>
      </c>
      <c r="G30" s="3" t="str">
        <v>15승 13패 (53.6%)</v>
      </c>
      <c r="H30" s="3" t="str">
        <v>6승 10패 (37.5%)</v>
      </c>
      <c r="I30" s="3" t="str">
        <v>대회 - 공다츠: 1승 0패 (100.0%) · 링고: 0승 1패 (0.0%) · 슬아: 1승 0패 (100.0%) · 늑대채린: 1승 0패 (100.0%) / 대학 - 요닝: 1승 0패 (100.0%) · 빵리나: 1승 1패 (50.0%) / 미니 - 졈니: 1승 1패 (50.0%) · 앵지: 0승 1패 (0.0%) · 최도랑: 1승 2패 (33.3%) · 렘레미: 1승 0패 (100.0%) · 늑대채린: 1승 0패 (100.0%) · 공다츠: 0승 3패 (0.0%) · 정소이: 1승 1패 (50.0%) · 몽순: 1승 2패 (33.3%) · 우리밍: 1승 0패 (100.0%) · 쥬나: 0승 2패 (0.0%) · 요닝: 1승 0패 (100.0%) · 빵리나: 1승 0패 (100.0%) · 연애인: 0승 1패 (0.0%) · 나린: 0승 1패 (0.0%) · 키링: 0승 2패 (0.0%) · 슬아: 1승 0패 (100.0%) · 링고: 1승 0패 (100.0%) / CK - 두디: 1승 1패 (50.0%) · 찌킹: 2승 1패 (66.7%) · 몽순: 0승 1패 (0.0%) · 연애인: 0승 1패 (0.0%) · 토마토: 0승 2패 (0.0%) · 요닝: 3승 1패 (75.0%) · 정소이: 1승 1패 (50.0%) · 최도랑: 1승 1패 (50.0%)</v>
      </c>
      <c r="J30" s="3" t="str">
        <v>라데온: 4승 11패 (26.7%) · 폴리포이드: 5승 6패 (45.5%) · 데자뷰: 2승 1패 (66.7%) · 녹아웃: 7승 5패 (58.3%) · 실피드: 2승 1패 (66.7%) · 오디세이: 2승 3패 (40.0%) · 애티튜드: 2승 0패 (100.0%)</v>
      </c>
    </row>
    <row r="31" spans="1:10" ht="24" customHeight="1" thickTop="1" thickBot="1" x14ac:dyDescent="0.45">
      <c r="A31" s="7" t="str">
        <v>소주양</v>
      </c>
      <c r="B31" s="54" t="str">
        <v>0승 4패 (0.0%)</v>
      </c>
      <c r="C31" s="54" t="str">
        <v>4승 1패 (80.0%)</v>
      </c>
      <c r="D31" s="54" t="str">
        <v>17승 9패 (65.4%)</v>
      </c>
      <c r="E31" s="54" t="str">
        <v>16승 15패 (51.6%)</v>
      </c>
      <c r="F31" s="54" t="str">
        <v>5승 0패 (100.0%)</v>
      </c>
      <c r="G31" s="54" t="str">
        <v>11승 10패 (52.4%)</v>
      </c>
      <c r="H31" s="54" t="str">
        <v>17승 12패 (58.6%)</v>
      </c>
      <c r="I31" s="54" t="str">
        <v>대회 - 꼬니부깅: 0승 2패 (0.0%) · 나린: 0승 1패 (0.0%) · 오하얀: 0승 1패 (0.0%) / 대학 - 슈슈: 1승 0패 (100.0%) · 설둥이: 1승 0패 (100.0%) · 백갑숙: 1승 0패 (100.0%) · 시녕뭉: 0승 1패 (0.0%) · 란란: 1승 0패 (100.0%) / 미니 - 키링: 2승 0패 (100.0%) · 임밍지: 0승 1패 (0.0%) · 설둥이: 2승 0패 (100.0%) · 묘아: 1승 3패 (25.0%) · 라운: 2승 0패 (100.0%) · 주서리: 3승 0패 (100.0%) · 단양: 1승 0패 (100.0%) · 꼬니부깅: 0승 1패 (0.0%) · 란란: 1승 1패 (50.0%) · 오하얀: 1승 0패 (100.0%) · 예실: 0승 1패 (0.0%) · 백갑숙: 1승 1패 (50.0%) · 슈슈: 1승 0패 (100.0%) · 시녕뭉: 0승 1패 (0.0%) · 내가먼지: 1승 0패 (100.0%) · 유이: 1승 0패 (100.0%) / CK - 오하얀: 4승 1패 (80.0%) · 주하랑: 3승 5패 (37.5%) · 슈슈: 6승 3패 (66.7%) · 아라미: 0승 1패 (0.0%) · 치리: 1승 2패 (33.3%) · 란란: 0승 1패 (0.0%) · 시녕뭉: 0승 1패 (0.0%) · 설둥이: 0승 1패 (0.0%) · 백갑숙: 2승 0패 (100.0%)</v>
      </c>
      <c r="J31" s="54" t="str">
        <v>폴리포이드: 10승 7패 (58.8%) · 데자뷰: 2승 0패 (100.0%) · 라데온: 10승 6패 (62.5%) · 리트머스: 1승 1패 (50.0%) · 녹아웃: 7승 9패 (43.8%) · 실피드: 3승 3패 (50.0%) · 오디세이: 2승 1패 (66.7%) · 애티튜드: 2승 2패 (50.0%)</v>
      </c>
    </row>
    <row r="32" spans="1:10" ht="24" customHeight="1" thickTop="1" thickBot="1" x14ac:dyDescent="0.45">
      <c r="A32" s="15" t="str">
        <v>파도튜브</v>
      </c>
      <c r="B32" s="3" t="str">
        <v/>
      </c>
      <c r="C32" s="3" t="str">
        <v/>
      </c>
      <c r="D32" s="3" t="str">
        <v/>
      </c>
      <c r="E32" s="3" t="str">
        <v>3승 2패 (60.0%)</v>
      </c>
      <c r="F32" s="3" t="str">
        <v/>
      </c>
      <c r="G32" s="3" t="str">
        <v>2승 2패 (50.0%)</v>
      </c>
      <c r="H32" s="3" t="str">
        <v/>
      </c>
      <c r="I32" s="3" t="str">
        <v>CK - 수입뿌드: 1승 0패 (100.0%) · 정소윤: 2승 1패 (66.7%) · 박성준: 0승 1패 (0.0%)</v>
      </c>
      <c r="J32" s="3" t="str">
        <v>폴리포이드: 2승 0패 (100.0%) · 실피드: 0승 1패 (0.0%) · 라데온: 1승 1패 (50.0%)</v>
      </c>
    </row>
    <row r="33" spans="1:10" ht="24" customHeight="1" thickTop="1" thickBot="1" x14ac:dyDescent="0.45">
      <c r="A33" s="7" t="str">
        <v>연또</v>
      </c>
      <c r="B33" s="54" t="str">
        <v/>
      </c>
      <c r="C33" s="54" t="str">
        <v/>
      </c>
      <c r="D33" s="54" t="str">
        <v/>
      </c>
      <c r="E33" s="54" t="str">
        <v/>
      </c>
      <c r="F33" s="54" t="str">
        <v/>
      </c>
      <c r="G33" s="54" t="str">
        <v/>
      </c>
      <c r="H33" s="54" t="str">
        <v/>
      </c>
      <c r="I33" s="54" t="str">
        <v/>
      </c>
      <c r="J33" s="54" t="str">
        <v/>
      </c>
    </row>
    <row r="34" spans="1:10" ht="24" customHeight="1" thickTop="1" thickBot="1" x14ac:dyDescent="0.45">
      <c r="A34" s="15" t="str">
        <v>박쭈이</v>
      </c>
      <c r="B34" s="3" t="str">
        <v/>
      </c>
      <c r="C34" s="3" t="str">
        <v/>
      </c>
      <c r="D34" s="3" t="str">
        <v/>
      </c>
      <c r="E34" s="3" t="str">
        <v>1승 1패 (50.0%)</v>
      </c>
      <c r="F34" s="3" t="str">
        <v/>
      </c>
      <c r="G34" s="3" t="str">
        <v/>
      </c>
      <c r="H34" s="3" t="str">
        <v>1승 0패 (100.0%)</v>
      </c>
      <c r="I34" s="3" t="str">
        <v>CK - 진땅콩: 0승 1패 (0.0%) · 우질: 1승 0패 (100.0%)</v>
      </c>
      <c r="J34" s="3" t="str">
        <v>폴리포이드: 1승 1패 (50.0%)</v>
      </c>
    </row>
    <row r="35" spans="1:10" ht="24" customHeight="1" thickTop="1" thickBot="1" x14ac:dyDescent="0.45">
      <c r="A35" s="7" t="str">
        <v>정유랭</v>
      </c>
      <c r="B35" s="54" t="str">
        <v/>
      </c>
      <c r="C35" s="54" t="str">
        <v/>
      </c>
      <c r="D35" s="54" t="str">
        <v/>
      </c>
      <c r="E35" s="54" t="str">
        <v/>
      </c>
      <c r="F35" s="54" t="str">
        <v/>
      </c>
      <c r="G35" s="54" t="str">
        <v/>
      </c>
      <c r="H35" s="54" t="str">
        <v/>
      </c>
      <c r="I35" s="54" t="str">
        <v/>
      </c>
      <c r="J35" s="54" t="str">
        <v/>
      </c>
    </row>
    <row r="36" spans="1:10" ht="24" customHeight="1" thickTop="1" thickBot="1" x14ac:dyDescent="0.45">
      <c r="A36" s="15" t="str">
        <v>먼진</v>
      </c>
      <c r="B36" s="3" t="str">
        <v>3승 1패 (75.0%)</v>
      </c>
      <c r="C36" s="3" t="str">
        <v>3승 2패 (60.0%)</v>
      </c>
      <c r="D36" s="3" t="str">
        <v>14승 13패 (51.9%)</v>
      </c>
      <c r="E36" s="3" t="str">
        <v>7승 13패 (35.0%)</v>
      </c>
      <c r="F36" s="3" t="str">
        <v>8승 10패 (44.4%)</v>
      </c>
      <c r="G36" s="3" t="str">
        <v>7승 1패 (87.5%)</v>
      </c>
      <c r="H36" s="3" t="str">
        <v>11승 14패 (44.0%)</v>
      </c>
      <c r="I36" s="3" t="str">
        <v>대회 - 밥새: 1승 0패 (100.0%) · 핑핑: 1승 0패 (100.0%) · 정다닝: 0승 1패 (0.0%) · 세월: 1승 0패 (100.0%) / 대학 - 흑설: 1승 0패 (100.0%) · 은서: 0승 1패 (0.0%) · 막내현진: 1승 1패 (50.0%) · 모비: 1승 0패 (100.0%) / 미니 - 정다닝: 1승 2패 (33.3%) · 수니양: 0승 1패 (0.0%) · 효짱: 0승 1패 (0.0%) · 은서: 2승 2패 (50.0%) · 아링: 1승 0패 (100.0%) · 경콩: 0승 2패 (0.0%) · 요시: 2승 0패 (100.0%) · 제갈츄빈: 2승 1패 (66.7%) · 쟈닌: 3승 0패 (100.0%) · 면추가: 1승 0패 (100.0%) · 막내현진: 0승 2패 (0.0%) · 제티: 0승 1패 (0.0%) · 백원이야: 1승 0패 (100.0%) · 냥수디: 1승 1패 (50.0%) / CK - 제티: 1승 1패 (50.0%) · 임조이: 1승 0패 (100.0%) · 수니양: 2승 3패 (40.0%) · 아리송이: 0승 4패 (0.0%) · 사사삼: 1승 0패 (100.0%) · 햇참새: 0승 5패 (0.0%) · 김말랑: 1승 0패 (100.0%) · 김세주: 1승 0패 (100.0%)</v>
      </c>
      <c r="J36" s="3" t="str">
        <v>폴리포이드: 5승 7패 (41.7%) · 라데온: 8승 6패 (57.1%) · 녹아웃: 8승 7패 (53.3%) · 실피드: 2승 4패 (33.3%) · 애티튜드: 4승 3패 (57.1%) · 오디세이: 0승 2패 (0.0%)</v>
      </c>
    </row>
    <row r="37" spans="1:10" ht="24" customHeight="1" thickTop="1" thickBot="1" x14ac:dyDescent="0.45">
      <c r="A37" s="7" t="str">
        <v>배성흠</v>
      </c>
      <c r="B37" s="54" t="str">
        <v/>
      </c>
      <c r="C37" s="54" t="str">
        <v/>
      </c>
      <c r="D37" s="54" t="str">
        <v/>
      </c>
      <c r="E37" s="54" t="str">
        <v>4승 6패 (40.0%)</v>
      </c>
      <c r="F37" s="54" t="str">
        <v>1승 2패 (33.3%)</v>
      </c>
      <c r="G37" s="54" t="str">
        <v>0승 1패 (0.0%)</v>
      </c>
      <c r="H37" s="54" t="str">
        <v>1승 1패 (50.0%)</v>
      </c>
      <c r="I37" s="54" t="str">
        <v>CK - 김범수: 1승 1패 (50.0%) · 이경민: 1승 2패 (33.3%) · 배호딱: 0승 1패 (0.0%) · 민찬기: 0승 1패 (0.0%) · 미후: 1승 0패 (100.0%) · 사오슈아이: 0승 1패 (0.0%) · 박수범: 1승 0패 (100.0%)</v>
      </c>
      <c r="J37" s="54" t="str">
        <v>녹아웃: 2승 2패 (50.0%) · 라데온: 1승 1패 (50.0%) · 제인도: 0승 1패 (0.0%) · 애티튜드: 0승 1패 (0.0%) · 폴스타: 0승 1패 (0.0%) · 컬러리스: 1승 0패 (100.0%)</v>
      </c>
    </row>
    <row r="38" spans="1:10" ht="24" customHeight="1" thickTop="1" thickBot="1" x14ac:dyDescent="0.45">
      <c r="A38" s="64" t="str">
        <v>박수범</v>
      </c>
      <c r="B38" s="65" t="str">
        <v/>
      </c>
      <c r="C38" s="65" t="str">
        <v/>
      </c>
      <c r="D38" s="65" t="str">
        <v/>
      </c>
      <c r="E38" s="65" t="str">
        <v>7승 9패 (43.8%)</v>
      </c>
      <c r="F38" s="65" t="str">
        <v>2승 3패 (40.0%)</v>
      </c>
      <c r="G38" s="65" t="str">
        <v>1승 1패 (50.0%)</v>
      </c>
      <c r="H38" s="65" t="str">
        <v>1승 1패 (50.0%)</v>
      </c>
      <c r="I38" s="65" t="str">
        <v>CK - 박성균: 0승 3패 (0.0%) · 박준오: 0승 2패 (0.0%) · 김윤중: 1승 0패 (100.0%) · 이영한: 0승 1패 (0.0%) · 만두호성: 1승 0패 (100.0%) · 지동원: 2승 1패 (66.7%) · 김윤환: 1승 0패 (100.0%) · 구성훈: 1승 0패 (100.0%) · 사오슈아이: 1승 0패 (100.0%) · 제이스타: 0승 1패 (0.0%) · 배성흠: 0승 1패 (0.0%)</v>
      </c>
      <c r="J38" s="65" t="str">
        <v>녹아웃: 1승 1패 (50.0%) · 도미네이터: 0승 3패 (0.0%) · 라데온: 1승 1패 (50.0%) · 애티튜드: 0승 2패 (0.0%) · 폴스타: 2승 0패 (100.0%) · 매치포인트: 0승 1패 (0.0%) · 제인도: 2승 0패 (100.0%) · 실피드: 1승 0패 (100.0%) · 컬러리스: 0승 1패 (0.0%)</v>
      </c>
    </row>
    <row r="39" spans="1:10" ht="24" customHeight="1" thickTop="1" thickBot="1" x14ac:dyDescent="0.45">
      <c r="A39" s="7" t="str">
        <v>비타밍</v>
      </c>
      <c r="B39" s="54" t="str">
        <v>1승 2패 (33.3%)</v>
      </c>
      <c r="C39" s="54" t="str">
        <v>1승 1패 (50.0%)</v>
      </c>
      <c r="D39" s="54" t="str">
        <v>8승 2패 (80.0%)</v>
      </c>
      <c r="E39" s="54" t="str">
        <v>9승 15패 (37.5%)</v>
      </c>
      <c r="F39" s="54" t="str">
        <v>2승 3패 (40.0%)</v>
      </c>
      <c r="G39" s="54" t="str">
        <v>10승 11패 (47.6%)</v>
      </c>
      <c r="H39" s="54" t="str">
        <v>5승 3패 (62.5%)</v>
      </c>
      <c r="I39" s="54" t="str">
        <v>대회 - 연수: 0승 1패 (0.0%) · 연블비: 1승 0패 (100.0%) · 박하악: 0승 1패 (0.0%) / 대학 - 효짱: 1승 0패 (100.0%) · 김무아: 0승 1패 (0.0%) / 미니 - 2라니: 0승 1패 (0.0%) · 태린: 2승 0패 (100.0%) · 핑핑: 2승 0패 (100.0%) · 김채이: 2승 0패 (100.0%) · 메옹: 0승 1패 (0.0%) · 연블비: 1승 0패 (100.0%) · 려원: 1승 0패 (100.0%) / CK - 임조이: 2승 3패 (40.0%) · 2라니: 1승 0패 (100.0%) · 박하악: 1승 6패 (14.3%) · 하두링: 0승 2패 (0.0%) · 연블비: 2승 0패 (100.0%) · 오리꿍: 2승 1패 (66.7%) · 김설: 0승 2패 (0.0%) · 려원: 1승 1패 (50.0%)</v>
      </c>
      <c r="J39" s="54" t="str">
        <v>폴리포이드: 4승 3패 (57.1%) · 라데온: 5승 5패 (50.0%) · 녹아웃: 7승 7패 (50.0%) · 오디세이: 2승 3패 (40.0%) · 애티튜드: 1승 2패 (33.3%)</v>
      </c>
    </row>
    <row r="40" spans="1:10" ht="24" customHeight="1" thickTop="1" thickBot="1" x14ac:dyDescent="0.45">
      <c r="A40" s="64" t="str">
        <v>아리송이</v>
      </c>
      <c r="B40" s="65" t="str">
        <v>1승 2패 (33.3%)</v>
      </c>
      <c r="C40" s="65" t="str">
        <v>3승 2패 (60.0%)</v>
      </c>
      <c r="D40" s="65" t="str">
        <v>9승 1패 (90.0%)</v>
      </c>
      <c r="E40" s="65" t="str">
        <v>8승 1패 (88.9%)</v>
      </c>
      <c r="F40" s="65" t="str">
        <v>9승 1패 (90.0%)</v>
      </c>
      <c r="G40" s="65" t="str">
        <v>8승 4패 (66.7%)</v>
      </c>
      <c r="H40" s="65" t="str">
        <v>0승 1패 (0.0%)</v>
      </c>
      <c r="I40" s="65" t="str">
        <v>대회 - 쟈닌: 0승 1패 (0.0%) · 정다닝: 1승 0패 (100.0%) · 냥수디: 0승 1패 (0.0%) / 대학 - 퀸주: 1승 1패 (50.0%) · 정다닝: 1승 1패 (50.0%) · 쟈닌: 1승 0패 (100.0%) / 미니 - 다뉴: 1승 0패 (100.0%) · 김말랑: 1승 0패 (100.0%) · 갱이다: 1승 0패 (100.0%) · 지우리: 1승 0패 (100.0%) · 얌쭈: 2승 0패 (100.0%) · 막내현진: 0승 1패 (0.0%) · 밥새: 2승 0패 (100.0%) · 다라츄: 1승 0패 (100.0%) / CK - 먼진: 4승 0패 (100.0%) · 면추가: 2승 1패 (66.7%) · 제갈츄빈: 2승 0패 (100.0%)</v>
      </c>
      <c r="J40" s="65" t="str">
        <v>라데온: 6승 1패 (85.7%) · 실피드: 1승 1패 (50.0%) · 폴리포이드: 4승 1패 (80.0%) · 녹아웃: 8승 2패 (80.0%) · 오디세이: 0승 1패 (0.0%) · 애티튜드: 2승 0패 (100.0%)</v>
      </c>
    </row>
    <row r="41" spans="1:10" ht="24" customHeight="1" thickTop="1" thickBot="1" x14ac:dyDescent="0.45">
      <c r="A41" s="7" t="str">
        <v>지두두</v>
      </c>
      <c r="B41" s="54" t="str">
        <v>0승 1패 (0.0%)</v>
      </c>
      <c r="C41" s="54" t="str">
        <v>1승 1패 (50.0%)</v>
      </c>
      <c r="D41" s="54" t="str">
        <v>7승 3패 (70.0%)</v>
      </c>
      <c r="E41" s="54" t="str">
        <v>8승 12패 (40.0%)</v>
      </c>
      <c r="F41" s="54" t="str">
        <v>1승 1패 (50.0%)</v>
      </c>
      <c r="G41" s="54" t="str">
        <v>1승 5패 (16.7%)</v>
      </c>
      <c r="H41" s="54" t="str">
        <v>11승 8패 (57.9%)</v>
      </c>
      <c r="I41" s="54" t="str">
        <v>대회 - 소심: 0승 1패 (0.0%) / 대학 - 디임: 0승 1패 (0.0%) · 구보라: 1승 0패 (100.0%) / 미니 - 빵리나: 3승 1패 (75.0%) · 요닝: 1승 0패 (100.0%) · 기나: 0승 1패 (0.0%) · 공다츠: 0승 1패 (0.0%) · 박듀듀: 2승 0패 (100.0%) · 뚜미: 1승 0패 (100.0%) / CK - 토마토: 2승 2패 (50.0%) · 요닝: 0승 2패 (0.0%) · 라미: 0승 2패 (0.0%) · 기나P: 1승 0패 (100.0%) · 빵리나: 2승 2패 (50.0%) · 디임: 1승 1패 (50.0%) · 박듀듀: 1승 2패 (33.3%) · 남덕선: 1승 1패 (50.0%)</v>
      </c>
      <c r="J41" s="54" t="str">
        <v>라데온: 6승 5패 (54.5%) · 녹아웃: 5승 5패 (50.0%) · 폴리포이드: 1승 3패 (25.0%) · 오디세이: 1승 3패 (25.0%) · 애티튜드: 3승 1패 (75.0%)</v>
      </c>
    </row>
    <row r="42" spans="1:10" ht="24" customHeight="1" thickTop="1" thickBot="1" x14ac:dyDescent="0.45">
      <c r="A42" s="15" t="str">
        <v>찌킹</v>
      </c>
      <c r="B42" s="3" t="str">
        <v>0승 2패 (0.0%)</v>
      </c>
      <c r="C42" s="3" t="str">
        <v>2승 1패 (66.7%)</v>
      </c>
      <c r="D42" s="3" t="str">
        <v>2승 0패 (100.0%)</v>
      </c>
      <c r="E42" s="3" t="str">
        <v>6승 8패 (42.9%)</v>
      </c>
      <c r="F42" s="3" t="str">
        <v>2승 0패 (100.0%)</v>
      </c>
      <c r="G42" s="3" t="str">
        <v>5승 2패 (71.4%)</v>
      </c>
      <c r="H42" s="3" t="str">
        <v>2승 7패 (22.2%)</v>
      </c>
      <c r="I42" s="3" t="str">
        <v>대회 - 나린: 0승 1패 (0.0%) · 링고: 0승 1패 (0.0%) / 대학 - 최도랑: 1승 0패 (100.0%) · 졈니: 0승 1패 (0.0%) · 나린: 1승 0패 (100.0%) / 미니 - 최도랑: 1승 0패 (100.0%) · 슬아: 1승 0패 (100.0%) / CK - 햇살: 1승 1패 (50.0%) · 뚜미: 2승 0패 (100.0%) · 치리: 0승 1패 (0.0%) · 몽순: 3승 1패 (75.0%) · 링고: 0승 3패 (0.0%) · 키링: 0승 2패 (0.0%)</v>
      </c>
      <c r="J42" s="3" t="str">
        <v>라데온: 5승 2패 (71.4%) · 폴리포이드: 2승 3패 (40.0%) · 녹아웃: 3승 6패 (33.3%)</v>
      </c>
    </row>
    <row r="43" spans="1:10" ht="24" customHeight="1" thickTop="1" thickBot="1" x14ac:dyDescent="0.45">
      <c r="A43" s="7" t="str">
        <v>사테</v>
      </c>
      <c r="B43" s="54" t="str">
        <v/>
      </c>
      <c r="C43" s="54" t="str">
        <v/>
      </c>
      <c r="D43" s="54" t="str">
        <v/>
      </c>
      <c r="E43" s="54" t="str">
        <v>3승 3패 (50.0%)</v>
      </c>
      <c r="F43" s="54" t="str">
        <v/>
      </c>
      <c r="G43" s="54" t="str">
        <v>0승 1패 (0.0%)</v>
      </c>
      <c r="H43" s="54" t="str">
        <v>1승 1패 (50.0%)</v>
      </c>
      <c r="I43" s="54" t="str">
        <v>CK - 박준오: 2승 0패 (100.0%) · 김윤중: 1승 1패 (50.0%) · 김성대: 0승 1패 (0.0%) · 김민철: 0승 1패 (0.0%)</v>
      </c>
      <c r="J43" s="54" t="str">
        <v>실피드: 1승 2패 (33.3%) · 아이올로스: 1승 0패 (100.0%) · 오디세이: 0승 1패 (0.0%) · 컬러리스: 1승 0패 (100.0%)</v>
      </c>
    </row>
    <row r="44" spans="1:10" ht="24" customHeight="1" thickTop="1" thickBot="1" x14ac:dyDescent="0.45">
      <c r="A44" s="15" t="str">
        <v>낭니</v>
      </c>
      <c r="B44" s="3" t="str">
        <v/>
      </c>
      <c r="C44" s="3" t="str">
        <v/>
      </c>
      <c r="D44" s="3" t="str">
        <v/>
      </c>
      <c r="E44" s="3" t="str">
        <v>1승 1패 (50.0%)</v>
      </c>
      <c r="F44" s="3" t="str">
        <v/>
      </c>
      <c r="G44" s="3" t="str">
        <v/>
      </c>
      <c r="H44" s="3" t="str">
        <v>1승 1패 (50.0%)</v>
      </c>
      <c r="I44" s="3" t="str">
        <v>CK - 하윤: 1승 1패 (50.0%)</v>
      </c>
      <c r="J44" s="3" t="str">
        <v>폴리포이드: 1승 1패 (50.0%)</v>
      </c>
    </row>
    <row r="45" spans="1:10" ht="24" customHeight="1" thickTop="1" thickBot="1" x14ac:dyDescent="0.45">
      <c r="A45" s="7" t="str">
        <v>변현제</v>
      </c>
      <c r="B45" s="54" t="str">
        <v/>
      </c>
      <c r="C45" s="54" t="str">
        <v/>
      </c>
      <c r="D45" s="54" t="str">
        <v>0승 2패 (0.0%)</v>
      </c>
      <c r="E45" s="54" t="str">
        <v>1승 0패 (100.0%)</v>
      </c>
      <c r="F45" s="54" t="str">
        <v/>
      </c>
      <c r="G45" s="54" t="str">
        <v/>
      </c>
      <c r="H45" s="54" t="str">
        <v>0승 2패 (0.0%)</v>
      </c>
      <c r="I45" s="54" t="str">
        <v>미니 - 도재욱: 0승 2패 (0.0%) / CK - 김민철: 1승 0패 (100.0%)</v>
      </c>
      <c r="J45" s="54" t="str">
        <v>녹아웃: 1승 0패 (100.0%) · 오디세이: 0승 2패 (0.0%)</v>
      </c>
    </row>
    <row r="46" spans="1:10" ht="24" customHeight="1" thickTop="1" thickBot="1" x14ac:dyDescent="0.45">
      <c r="A46" s="15" t="str">
        <v>김민철</v>
      </c>
      <c r="B46" s="3" t="str">
        <v>0승 2패 (0.0%)</v>
      </c>
      <c r="C46" s="3" t="str">
        <v/>
      </c>
      <c r="D46" s="3" t="str">
        <v/>
      </c>
      <c r="E46" s="3" t="str">
        <v>2승 1패 (66.7%)</v>
      </c>
      <c r="F46" s="3" t="str">
        <v>0승 1패 (0.0%)</v>
      </c>
      <c r="G46" s="3" t="str">
        <v/>
      </c>
      <c r="H46" s="3" t="str">
        <v>0승 1패 (0.0%)</v>
      </c>
      <c r="I46" s="3" t="str">
        <v>대회 - 최호선: 0승 1패 (0.0%) · 장윤철: 0승 1패 (0.0%) / CK - 변현제: 0승 1패 (0.0%) · 사테: 1승 0패 (100.0%) · 김윤환: 1승 0패 (100.0%)</v>
      </c>
      <c r="J46" s="3" t="str">
        <v>녹아웃: 0승 1패 (0.0%) · 오디세이: 2승 1패 (66.7%) · 아이올로스: 0승 1패 (0.0%)</v>
      </c>
    </row>
    <row r="47" spans="1:10" ht="24" customHeight="1" thickTop="1" thickBot="1" x14ac:dyDescent="0.45">
      <c r="A47" s="7" t="str">
        <v>남덕선</v>
      </c>
      <c r="B47" s="54" t="str">
        <v>1승 0패 (100.0%)</v>
      </c>
      <c r="C47" s="54" t="str">
        <v/>
      </c>
      <c r="D47" s="54" t="str">
        <v>5승 8패 (38.5%)</v>
      </c>
      <c r="E47" s="54" t="str">
        <v>5승 3패 (62.5%)</v>
      </c>
      <c r="F47" s="54" t="str">
        <v>2승 5패 (28.6%)</v>
      </c>
      <c r="G47" s="54" t="str">
        <v>7승 4패 (63.6%)</v>
      </c>
      <c r="H47" s="54" t="str">
        <v>1승 1패 (50.0%)</v>
      </c>
      <c r="I47" s="54" t="str">
        <v>대회 - 카히리: 1승 0패 (100.0%) / 미니 - 나무늘봉순: 0승 1패 (0.0%) · 또봉순: 1승 0패 (100.0%) · 우힝: 0승 1패 (0.0%) · 히엉: 0승 3패 (0.0%) · 하블리: 0승 2패 (0.0%) · 김쵸아: 1승 0패 (100.0%) · 카히리: 2승 0패 (100.0%) · 슬돌이: 0승 1패 (0.0%) · 다나짱: 1승 0패 (100.0%) / CK - 히엉: 1승 0패 (100.0%) · 클템: 0승 1패 (0.0%) · 지두두: 1승 1패 (50.0%) · 하블리: 3승 1패 (75.0%)</v>
      </c>
      <c r="J47" s="54" t="str">
        <v>폴리포이드: 1승 2패 (33.3%) · 라데온: 3승 5패 (37.5%) · 오디세이: 3승 0패 (100.0%) · 녹아웃: 2승 1패 (66.7%) · 애티튜드: 2승 3패 (40.0%)</v>
      </c>
    </row>
    <row r="48" spans="1:10" ht="24" customHeight="1" thickTop="1" thickBot="1" x14ac:dyDescent="0.45">
      <c r="A48" s="15" t="str">
        <v/>
      </c>
      <c r="B48" s="3" t="str">
        <v/>
      </c>
      <c r="C48" s="3" t="str">
        <v/>
      </c>
      <c r="D48" s="3" t="str">
        <v/>
      </c>
      <c r="E48" s="3" t="str">
        <v/>
      </c>
      <c r="F48" s="3" t="str">
        <v/>
      </c>
      <c r="G48" s="3" t="str">
        <v/>
      </c>
      <c r="H48" s="3" t="str">
        <v/>
      </c>
      <c r="I48" s="3" t="str">
        <v/>
      </c>
      <c r="J48" s="3" t="str">
        <v/>
      </c>
    </row>
    <row r="49" spans="1:10" ht="24" customHeight="1" thickTop="1" thickBot="1" x14ac:dyDescent="0.45">
      <c r="A49" s="7" t="str">
        <v>테란반</v>
      </c>
      <c r="B49" s="54" t="str">
        <v>8승 16패 (33.3%)</v>
      </c>
      <c r="C49" s="54" t="str">
        <v>10승 11패 (47.6%)</v>
      </c>
      <c r="D49" s="54" t="str">
        <v>76승 46패 (62.3%)</v>
      </c>
      <c r="E49" s="54" t="str">
        <v>82승 92패 (47.1%)</v>
      </c>
      <c r="F49" s="54" t="str">
        <v>13승 10패 (56.5%)</v>
      </c>
      <c r="G49" s="54" t="str">
        <v>72승 62패 (53.7%)</v>
      </c>
      <c r="H49" s="54" t="str">
        <v>69승 64패 (51.9%)</v>
      </c>
      <c r="I49" s="54" t="str">
        <v/>
      </c>
      <c r="J49" s="54" t="str">
        <v/>
      </c>
    </row>
    <row r="50" spans="1:10" ht="24" customHeight="1" thickTop="1" thickBot="1" x14ac:dyDescent="0.45">
      <c r="A50" s="15" t="str">
        <v>저그반</v>
      </c>
      <c r="B50" s="3" t="str">
        <v>42승 38패 (52.5%)</v>
      </c>
      <c r="C50" s="3" t="str">
        <v>16승 18패 (47.1%)</v>
      </c>
      <c r="D50" s="3" t="str">
        <v>117승 100패 (53.9%)</v>
      </c>
      <c r="E50" s="3" t="str">
        <v>106승 111패 (48.8%)</v>
      </c>
      <c r="F50" s="3" t="str">
        <v>82승 82패 (50.0%)</v>
      </c>
      <c r="G50" s="3" t="str">
        <v>60승 39패 (60.6%)</v>
      </c>
      <c r="H50" s="3" t="str">
        <v>110승 114패 (49.1%)</v>
      </c>
      <c r="I50" s="3" t="str">
        <v/>
      </c>
      <c r="J50" s="3" t="str">
        <v/>
      </c>
    </row>
    <row r="51" spans="1:10" ht="24" customHeight="1" thickTop="1" thickBot="1" x14ac:dyDescent="0.45">
      <c r="A51" s="7" t="str">
        <v>프로토스반</v>
      </c>
      <c r="B51" s="54" t="str">
        <v>44승 32패 (57.9%)</v>
      </c>
      <c r="C51" s="54" t="str">
        <v>13승 22패 (37.1%)</v>
      </c>
      <c r="D51" s="54" t="str">
        <v>89승 111패 (44.5%)</v>
      </c>
      <c r="E51" s="54" t="str">
        <v>89승 65패 (57.8%)</v>
      </c>
      <c r="F51" s="54" t="str">
        <v>91승 83패 (52.3%)</v>
      </c>
      <c r="G51" s="54" t="str">
        <v>81승 95패 (46.0%)</v>
      </c>
      <c r="H51" s="54" t="str">
        <v>32승 31패 (50.8%)</v>
      </c>
      <c r="I51" s="54" t="str">
        <v/>
      </c>
      <c r="J51" s="54" t="str">
        <v/>
      </c>
    </row>
    <row r="53" spans="1:10" ht="24" customHeight="1" thickTop="1" thickBot="1" x14ac:dyDescent="0.45">
      <c r="A53" s="7"/>
      <c r="B53" s="54"/>
      <c r="C53" s="54"/>
      <c r="D53" s="54"/>
      <c r="E53" s="54"/>
      <c r="F53" s="54"/>
      <c r="G53" s="54"/>
      <c r="H53" s="54"/>
      <c r="I53" s="54"/>
      <c r="J53" s="54"/>
    </row>
    <row r="55" spans="1:10" ht="24" customHeight="1" thickTop="1" thickBot="1" x14ac:dyDescent="0.45">
      <c r="A55" s="7"/>
      <c r="B55" s="54"/>
      <c r="C55" s="54"/>
      <c r="D55" s="54"/>
      <c r="E55" s="54"/>
      <c r="F55" s="54"/>
      <c r="G55" s="54"/>
      <c r="H55" s="54"/>
      <c r="I55" s="54"/>
      <c r="J55" s="54"/>
    </row>
    <row r="57" spans="1:10" ht="24" customHeight="1" thickTop="1" thickBot="1" x14ac:dyDescent="0.45">
      <c r="A57" s="7"/>
      <c r="B57" s="54"/>
      <c r="C57" s="54"/>
      <c r="D57" s="54"/>
      <c r="E57" s="54"/>
      <c r="F57" s="54"/>
      <c r="G57" s="54"/>
      <c r="H57" s="54"/>
      <c r="I57" s="54"/>
      <c r="J57" s="54"/>
    </row>
    <row r="59" spans="1:10" ht="24" customHeight="1" thickTop="1" thickBot="1" x14ac:dyDescent="0.45">
      <c r="A59" s="7"/>
      <c r="B59" s="54"/>
      <c r="C59" s="54"/>
      <c r="D59" s="54"/>
      <c r="E59" s="54"/>
      <c r="F59" s="54"/>
      <c r="G59" s="54"/>
      <c r="H59" s="54"/>
      <c r="I59" s="54"/>
      <c r="J59" s="54"/>
    </row>
    <row r="61" spans="1:10" ht="24" customHeight="1" thickTop="1" thickBot="1" x14ac:dyDescent="0.45">
      <c r="A61" s="7"/>
      <c r="B61" s="54"/>
      <c r="C61" s="54"/>
      <c r="D61" s="54"/>
      <c r="E61" s="54"/>
      <c r="F61" s="54"/>
      <c r="G61" s="54"/>
      <c r="H61" s="54"/>
      <c r="I61" s="54"/>
      <c r="J61" s="54"/>
    </row>
  </sheetData>
  <dataConsolidate/>
  <phoneticPr fontId="1" type="noConversion"/>
  <dataValidations count="1">
    <dataValidation type="list" allowBlank="1" showInputMessage="1" showErrorMessage="1" sqref="M1" xr:uid="{C79C2782-5319-47C5-8CB8-16D21FDAB99C}">
      <formula1>"전체,시즌1,시즌2,시즌3,시즌4,시즌5,캄몬1"</formula1>
    </dataValidation>
  </dataValidations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A29E2-DC9E-4A8D-A6CF-D267A3F8025B}">
  <sheetPr codeName="Sheet06"/>
  <dimension ref="A1:BQ78"/>
  <sheetViews>
    <sheetView topLeftCell="A73" zoomScale="70" zoomScaleNormal="70" workbookViewId="0">
      <selection activeCell="A77" sqref="A77"/>
    </sheetView>
  </sheetViews>
  <sheetFormatPr defaultColWidth="15.69921875" defaultRowHeight="72" customHeight="1" thickTop="1" thickBottom="1" x14ac:dyDescent="0.45"/>
  <cols>
    <col min="1" max="1" width="15.69921875" style="23"/>
    <col min="2" max="2" width="15.69921875" style="3"/>
    <col min="3" max="12" width="15.69921875" style="5"/>
    <col min="13" max="20" width="15.69921875" style="3"/>
    <col min="21" max="23" width="15.69921875" style="5"/>
    <col min="24" max="26" width="15.69921875" style="5" hidden="1" customWidth="1"/>
    <col min="27" max="27" width="15.69921875" style="5" customWidth="1"/>
    <col min="28" max="28" width="15.69921875" style="5"/>
    <col min="29" max="33" width="15.69921875" style="5" hidden="1" customWidth="1"/>
    <col min="34" max="34" width="15.69921875" style="5" customWidth="1"/>
    <col min="35" max="36" width="15.69921875" style="5" hidden="1" customWidth="1"/>
    <col min="37" max="37" width="15.69921875" style="5"/>
    <col min="38" max="38" width="0" style="5" hidden="1" customWidth="1"/>
    <col min="39" max="40" width="15.69921875" style="5" hidden="1" customWidth="1"/>
    <col min="41" max="41" width="15.69921875" style="5"/>
    <col min="42" max="42" width="15.69921875" style="5" hidden="1" customWidth="1"/>
    <col min="43" max="43" width="0" style="53" hidden="1" customWidth="1"/>
    <col min="44" max="44" width="15.69921875" style="5" customWidth="1"/>
    <col min="45" max="45" width="15.69921875" style="5" hidden="1" customWidth="1"/>
    <col min="46" max="46" width="0" style="53" hidden="1" customWidth="1"/>
    <col min="47" max="47" width="0" style="5" hidden="1" customWidth="1"/>
    <col min="48" max="49" width="15.69921875" style="5" customWidth="1"/>
    <col min="50" max="51" width="15.69921875" style="5"/>
    <col min="52" max="54" width="0" style="5" hidden="1" customWidth="1"/>
    <col min="55" max="69" width="15.69921875" style="5"/>
    <col min="70" max="16384" width="15.69921875" style="3"/>
  </cols>
  <sheetData>
    <row r="1" spans="1:67" ht="24" customHeight="1" thickTop="1" thickBot="1" x14ac:dyDescent="0.45">
      <c r="A1" s="43" t="s">
        <v>874</v>
      </c>
      <c r="B1" s="1" t="s">
        <v>875</v>
      </c>
      <c r="C1" s="45" t="s">
        <v>876</v>
      </c>
      <c r="D1" s="45" t="s">
        <v>877</v>
      </c>
      <c r="E1" s="45" t="s">
        <v>878</v>
      </c>
      <c r="F1" s="45" t="s">
        <v>879</v>
      </c>
      <c r="G1" s="45" t="s">
        <v>880</v>
      </c>
      <c r="H1" s="45" t="s">
        <v>881</v>
      </c>
      <c r="I1" s="45" t="s">
        <v>882</v>
      </c>
      <c r="J1" s="45" t="s">
        <v>883</v>
      </c>
      <c r="K1" s="45" t="s">
        <v>884</v>
      </c>
      <c r="L1" s="45" t="s">
        <v>203</v>
      </c>
      <c r="M1" s="1" t="s">
        <v>885</v>
      </c>
      <c r="N1" s="1" t="s">
        <v>886</v>
      </c>
      <c r="O1" s="1" t="s">
        <v>887</v>
      </c>
      <c r="P1" s="1" t="s">
        <v>888</v>
      </c>
      <c r="Q1" s="1" t="s">
        <v>889</v>
      </c>
      <c r="R1" s="1" t="s">
        <v>890</v>
      </c>
      <c r="S1" s="1" t="s">
        <v>891</v>
      </c>
      <c r="T1" s="1" t="s">
        <v>892</v>
      </c>
      <c r="U1" s="45" t="s">
        <v>73</v>
      </c>
      <c r="V1" s="45" t="s">
        <v>50</v>
      </c>
      <c r="W1" s="45" t="s">
        <v>54</v>
      </c>
      <c r="X1" s="45" t="s">
        <v>22</v>
      </c>
      <c r="Y1" s="45" t="s">
        <v>5</v>
      </c>
      <c r="Z1" s="45" t="s">
        <v>30</v>
      </c>
      <c r="AA1" s="45" t="s">
        <v>7</v>
      </c>
      <c r="AB1" s="45" t="s">
        <v>23</v>
      </c>
      <c r="AC1" s="45" t="s">
        <v>961</v>
      </c>
      <c r="AD1" s="45" t="s">
        <v>21</v>
      </c>
      <c r="AE1" s="45" t="s">
        <v>31</v>
      </c>
      <c r="AF1" s="45" t="s">
        <v>64</v>
      </c>
      <c r="AG1" s="45" t="s">
        <v>39</v>
      </c>
      <c r="AH1" s="45" t="s">
        <v>25</v>
      </c>
      <c r="AI1" s="45" t="s">
        <v>14</v>
      </c>
      <c r="AJ1" s="45" t="s">
        <v>62</v>
      </c>
      <c r="AK1" s="45" t="s">
        <v>55</v>
      </c>
      <c r="AL1" s="45" t="s">
        <v>52</v>
      </c>
      <c r="AM1" s="45" t="s">
        <v>17</v>
      </c>
      <c r="AN1" s="45" t="s">
        <v>41</v>
      </c>
      <c r="AO1" s="45" t="s">
        <v>16</v>
      </c>
      <c r="AP1" s="45" t="s">
        <v>11</v>
      </c>
      <c r="AQ1" s="45" t="s">
        <v>40</v>
      </c>
      <c r="AR1" s="45" t="s">
        <v>61</v>
      </c>
      <c r="AS1" s="45" t="s">
        <v>59</v>
      </c>
      <c r="AT1" s="45" t="s">
        <v>33</v>
      </c>
      <c r="AU1" s="45" t="s">
        <v>58</v>
      </c>
      <c r="AV1" s="45" t="s">
        <v>4</v>
      </c>
      <c r="AW1" s="45" t="s">
        <v>20</v>
      </c>
      <c r="AX1" s="45" t="s">
        <v>13</v>
      </c>
      <c r="AY1" s="45" t="s">
        <v>66</v>
      </c>
      <c r="AZ1" s="45" t="s">
        <v>965</v>
      </c>
      <c r="BA1" s="45" t="s">
        <v>966</v>
      </c>
      <c r="BB1" s="45" t="s">
        <v>967</v>
      </c>
      <c r="BC1" s="45" t="s">
        <v>1038</v>
      </c>
      <c r="BD1" s="45" t="s">
        <v>1049</v>
      </c>
      <c r="BE1" s="45" t="s">
        <v>1052</v>
      </c>
      <c r="BF1" s="45" t="s">
        <v>1037</v>
      </c>
      <c r="BG1" s="45" t="s">
        <v>1046</v>
      </c>
      <c r="BH1" s="45" t="s">
        <v>1022</v>
      </c>
      <c r="BI1" s="45" t="s">
        <v>1032</v>
      </c>
      <c r="BJ1" s="45" t="s">
        <v>1055</v>
      </c>
      <c r="BK1" s="45" t="s">
        <v>1757</v>
      </c>
      <c r="BL1" s="45" t="s">
        <v>1060</v>
      </c>
      <c r="BM1" s="45" t="s">
        <v>1058</v>
      </c>
      <c r="BN1" s="45" t="s">
        <v>1075</v>
      </c>
      <c r="BO1" s="52" t="s">
        <v>74</v>
      </c>
    </row>
    <row r="2" spans="1:67" ht="72" customHeight="1" thickTop="1" thickBot="1" x14ac:dyDescent="0.45">
      <c r="A2" s="24">
        <v>45933</v>
      </c>
      <c r="B2" s="14" t="s">
        <v>893</v>
      </c>
      <c r="C2" s="39">
        <v>160000</v>
      </c>
      <c r="D2" s="39">
        <v>16000</v>
      </c>
      <c r="E2" s="39">
        <v>12000</v>
      </c>
      <c r="F2" s="39">
        <v>8000</v>
      </c>
      <c r="G2" s="39">
        <v>4000</v>
      </c>
      <c r="H2" s="39"/>
      <c r="I2" s="39"/>
      <c r="J2" s="39"/>
      <c r="K2" s="39"/>
      <c r="L2" s="39">
        <v>100</v>
      </c>
      <c r="M2" s="14" t="s">
        <v>1382</v>
      </c>
      <c r="N2" s="14" t="s">
        <v>894</v>
      </c>
      <c r="O2" s="14" t="s">
        <v>895</v>
      </c>
      <c r="P2" s="14" t="s">
        <v>896</v>
      </c>
      <c r="Q2" s="14"/>
      <c r="R2" s="14"/>
      <c r="S2" s="14"/>
      <c r="T2" s="14"/>
      <c r="U2" s="39"/>
      <c r="V2" s="39">
        <v>26000</v>
      </c>
      <c r="W2" s="39"/>
      <c r="X2" s="39"/>
      <c r="Y2" s="39"/>
      <c r="Z2" s="39"/>
      <c r="AA2" s="39"/>
      <c r="AB2" s="39">
        <v>17000</v>
      </c>
      <c r="AC2" s="39"/>
      <c r="AD2" s="39"/>
      <c r="AE2" s="39"/>
      <c r="AF2" s="39"/>
      <c r="AG2" s="39"/>
      <c r="AH2" s="39">
        <v>16500</v>
      </c>
      <c r="AI2" s="39"/>
      <c r="AJ2" s="39">
        <v>2700</v>
      </c>
      <c r="AK2" s="39">
        <v>3000</v>
      </c>
      <c r="AL2" s="39">
        <v>10500</v>
      </c>
      <c r="AM2" s="39"/>
      <c r="AN2" s="39"/>
      <c r="AO2" s="39"/>
      <c r="AP2" s="39">
        <v>7000</v>
      </c>
      <c r="AQ2" s="39">
        <v>8000</v>
      </c>
      <c r="AR2" s="39">
        <v>4100</v>
      </c>
      <c r="AS2" s="39">
        <v>4500</v>
      </c>
      <c r="AT2" s="39">
        <v>10000</v>
      </c>
      <c r="AU2" s="39"/>
      <c r="AV2" s="39">
        <v>25000</v>
      </c>
      <c r="AW2" s="39"/>
      <c r="AX2" s="39">
        <v>15000</v>
      </c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</row>
    <row r="3" spans="1:67" ht="72" customHeight="1" thickTop="1" thickBot="1" x14ac:dyDescent="0.45">
      <c r="A3" s="23">
        <v>45935</v>
      </c>
      <c r="B3" s="3" t="s">
        <v>897</v>
      </c>
      <c r="C3" s="5">
        <v>85200</v>
      </c>
      <c r="D3" s="5">
        <v>12800</v>
      </c>
      <c r="E3" s="5">
        <v>8500</v>
      </c>
      <c r="L3" s="5">
        <v>100</v>
      </c>
      <c r="M3" s="3" t="s">
        <v>898</v>
      </c>
      <c r="N3" s="3" t="s">
        <v>899</v>
      </c>
      <c r="AA3" s="5">
        <v>12000</v>
      </c>
      <c r="AO3" s="5">
        <v>14000</v>
      </c>
      <c r="AQ3" s="5"/>
      <c r="AS3" s="5">
        <v>12000</v>
      </c>
      <c r="AT3" s="5">
        <v>10800</v>
      </c>
      <c r="AX3" s="5">
        <v>10000</v>
      </c>
    </row>
    <row r="4" spans="1:67" ht="72" customHeight="1" thickTop="1" thickBot="1" x14ac:dyDescent="0.45">
      <c r="A4" s="23">
        <v>45936</v>
      </c>
      <c r="B4" s="3" t="s">
        <v>897</v>
      </c>
      <c r="C4" s="5">
        <v>77700</v>
      </c>
      <c r="D4" s="5">
        <v>19300</v>
      </c>
      <c r="E4" s="5">
        <v>12800</v>
      </c>
      <c r="L4" s="5">
        <v>100</v>
      </c>
      <c r="M4" s="3" t="s">
        <v>900</v>
      </c>
      <c r="N4" s="3" t="s">
        <v>901</v>
      </c>
      <c r="AA4" s="5">
        <v>21000</v>
      </c>
      <c r="AQ4" s="5"/>
      <c r="AS4" s="5">
        <v>21000</v>
      </c>
      <c r="AT4" s="5"/>
    </row>
    <row r="5" spans="1:67" ht="72" customHeight="1" thickTop="1" thickBot="1" x14ac:dyDescent="0.45">
      <c r="A5" s="23">
        <v>45939</v>
      </c>
      <c r="B5" s="3" t="s">
        <v>902</v>
      </c>
      <c r="C5" s="5">
        <v>80800</v>
      </c>
      <c r="D5" s="5">
        <v>12100</v>
      </c>
      <c r="E5" s="5">
        <v>8100</v>
      </c>
      <c r="M5" s="3" t="s">
        <v>903</v>
      </c>
      <c r="N5" s="3" t="s">
        <v>904</v>
      </c>
      <c r="AA5" s="5">
        <v>16000</v>
      </c>
      <c r="AG5" s="5">
        <v>8000</v>
      </c>
      <c r="AP5" s="5">
        <v>7200</v>
      </c>
      <c r="AQ5" s="5"/>
      <c r="AR5" s="5">
        <v>7600</v>
      </c>
      <c r="AT5" s="5">
        <v>10000</v>
      </c>
      <c r="AV5" s="5">
        <v>12000</v>
      </c>
      <c r="AW5" s="5">
        <v>10000</v>
      </c>
      <c r="AX5" s="5">
        <v>10000</v>
      </c>
    </row>
    <row r="6" spans="1:67" ht="72" customHeight="1" thickTop="1" thickBot="1" x14ac:dyDescent="0.45">
      <c r="A6" s="23">
        <v>45941</v>
      </c>
      <c r="B6" s="3" t="s">
        <v>905</v>
      </c>
      <c r="C6" s="5">
        <v>233800</v>
      </c>
      <c r="D6" s="5">
        <v>26700</v>
      </c>
      <c r="E6" s="5">
        <v>6700</v>
      </c>
      <c r="L6" s="5">
        <v>100</v>
      </c>
      <c r="M6" s="3" t="s">
        <v>906</v>
      </c>
      <c r="N6" s="3" t="s">
        <v>907</v>
      </c>
      <c r="W6" s="5">
        <v>24500</v>
      </c>
      <c r="AA6" s="5">
        <v>28700</v>
      </c>
      <c r="AB6" s="5">
        <v>21000</v>
      </c>
      <c r="AG6" s="5">
        <v>21000</v>
      </c>
      <c r="AH6" s="5">
        <v>17500</v>
      </c>
      <c r="AJ6" s="5">
        <v>3500</v>
      </c>
      <c r="AK6" s="5">
        <v>3500</v>
      </c>
      <c r="AO6" s="5">
        <v>16100</v>
      </c>
      <c r="AP6" s="5">
        <v>23800</v>
      </c>
      <c r="AQ6" s="5"/>
      <c r="AR6" s="5">
        <v>3500</v>
      </c>
      <c r="AT6" s="5">
        <v>14000</v>
      </c>
      <c r="AU6" s="5">
        <v>7000</v>
      </c>
      <c r="AV6" s="5">
        <v>28000</v>
      </c>
      <c r="AW6" s="5">
        <v>21700</v>
      </c>
    </row>
    <row r="7" spans="1:67" ht="72" customHeight="1" thickTop="1" thickBot="1" x14ac:dyDescent="0.45">
      <c r="A7" s="23">
        <v>45942</v>
      </c>
      <c r="B7" s="3" t="s">
        <v>905</v>
      </c>
      <c r="C7" s="5">
        <v>244300</v>
      </c>
      <c r="D7" s="5">
        <v>24400</v>
      </c>
      <c r="E7" s="5">
        <v>10500</v>
      </c>
      <c r="L7" s="5">
        <v>100</v>
      </c>
      <c r="M7" s="3" t="s">
        <v>908</v>
      </c>
      <c r="N7" s="3" t="s">
        <v>909</v>
      </c>
      <c r="W7" s="5">
        <v>23100</v>
      </c>
      <c r="AA7" s="5">
        <v>22400</v>
      </c>
      <c r="AB7" s="5">
        <v>25900</v>
      </c>
      <c r="AG7" s="5">
        <v>20300</v>
      </c>
      <c r="AH7" s="5">
        <v>21000</v>
      </c>
      <c r="AJ7" s="5">
        <v>3500</v>
      </c>
      <c r="AK7" s="5">
        <v>3500</v>
      </c>
      <c r="AL7" s="5">
        <v>29400</v>
      </c>
      <c r="AO7" s="5">
        <v>11900</v>
      </c>
      <c r="AP7" s="5">
        <v>10500</v>
      </c>
      <c r="AQ7" s="5"/>
      <c r="AR7" s="5">
        <v>7000</v>
      </c>
      <c r="AT7" s="5">
        <v>18900</v>
      </c>
      <c r="AV7" s="5">
        <v>32900</v>
      </c>
      <c r="AW7" s="5">
        <v>14000</v>
      </c>
    </row>
    <row r="8" spans="1:67" ht="72" customHeight="1" thickTop="1" thickBot="1" x14ac:dyDescent="0.45">
      <c r="A8" s="23">
        <v>45945</v>
      </c>
      <c r="B8" s="3" t="s">
        <v>910</v>
      </c>
      <c r="C8" s="5">
        <v>143200</v>
      </c>
      <c r="D8" s="5">
        <v>16775</v>
      </c>
      <c r="E8" s="5">
        <v>10775</v>
      </c>
      <c r="F8" s="5">
        <v>6750</v>
      </c>
      <c r="G8" s="5">
        <v>2000</v>
      </c>
      <c r="L8" s="5">
        <v>100</v>
      </c>
      <c r="M8" s="3" t="s">
        <v>911</v>
      </c>
      <c r="N8" s="3" t="s">
        <v>912</v>
      </c>
      <c r="O8" s="3" t="s">
        <v>913</v>
      </c>
      <c r="P8" s="3" t="s">
        <v>914</v>
      </c>
      <c r="V8" s="5">
        <v>16000</v>
      </c>
      <c r="AA8" s="5">
        <v>16000</v>
      </c>
      <c r="AG8" s="5">
        <v>12000</v>
      </c>
      <c r="AJ8" s="5">
        <v>4000</v>
      </c>
      <c r="AQ8" s="5">
        <v>8700</v>
      </c>
      <c r="AR8" s="5">
        <v>4000</v>
      </c>
      <c r="AT8" s="5">
        <v>12000</v>
      </c>
      <c r="AX8" s="5">
        <v>11100</v>
      </c>
    </row>
    <row r="9" spans="1:67" ht="72" customHeight="1" thickTop="1" thickBot="1" x14ac:dyDescent="0.45">
      <c r="A9" s="23">
        <v>45946</v>
      </c>
      <c r="B9" s="3" t="s">
        <v>1236</v>
      </c>
      <c r="C9" s="5">
        <v>346800</v>
      </c>
      <c r="D9" s="5">
        <v>40500</v>
      </c>
      <c r="E9" s="5">
        <v>17300</v>
      </c>
      <c r="M9" s="3" t="s">
        <v>915</v>
      </c>
      <c r="N9" s="3" t="s">
        <v>916</v>
      </c>
      <c r="V9" s="5">
        <v>81000</v>
      </c>
      <c r="AA9" s="5">
        <v>38400</v>
      </c>
      <c r="AH9" s="5">
        <v>27000</v>
      </c>
      <c r="AJ9" s="5">
        <v>6000</v>
      </c>
      <c r="AK9" s="5">
        <v>16200</v>
      </c>
      <c r="AL9" s="5">
        <v>30600</v>
      </c>
      <c r="AO9" s="5">
        <v>18000</v>
      </c>
      <c r="AP9" s="5">
        <v>36000</v>
      </c>
      <c r="AQ9" s="5"/>
      <c r="AR9" s="5">
        <v>8400</v>
      </c>
      <c r="AS9" s="5">
        <v>6600</v>
      </c>
      <c r="AT9" s="5">
        <v>18600</v>
      </c>
      <c r="AV9" s="5">
        <v>60000</v>
      </c>
    </row>
    <row r="10" spans="1:67" ht="72" customHeight="1" thickTop="1" thickBot="1" x14ac:dyDescent="0.45">
      <c r="A10" s="23">
        <v>45947</v>
      </c>
      <c r="B10" s="3" t="s">
        <v>1412</v>
      </c>
      <c r="C10" s="5">
        <v>50000</v>
      </c>
      <c r="D10" s="5">
        <v>10000</v>
      </c>
      <c r="E10" s="5">
        <v>0</v>
      </c>
      <c r="L10" s="5">
        <v>100</v>
      </c>
      <c r="M10" s="3" t="s">
        <v>917</v>
      </c>
      <c r="N10" s="3" t="s">
        <v>918</v>
      </c>
      <c r="V10" s="5">
        <v>5000</v>
      </c>
      <c r="W10" s="5">
        <v>5000</v>
      </c>
      <c r="AJ10" s="5">
        <v>5000</v>
      </c>
      <c r="AK10" s="5">
        <v>5000</v>
      </c>
      <c r="AL10" s="5">
        <v>5000</v>
      </c>
      <c r="AQ10" s="5"/>
      <c r="AR10" s="5">
        <v>5000</v>
      </c>
      <c r="AT10" s="5"/>
    </row>
    <row r="11" spans="1:67" ht="72" customHeight="1" thickTop="1" thickBot="1" x14ac:dyDescent="0.45">
      <c r="A11" s="23">
        <v>45948</v>
      </c>
      <c r="B11" s="3" t="s">
        <v>919</v>
      </c>
      <c r="C11" s="5">
        <v>235000</v>
      </c>
      <c r="D11" s="5">
        <v>47000</v>
      </c>
      <c r="E11" s="5">
        <v>0</v>
      </c>
      <c r="L11" s="5">
        <v>100</v>
      </c>
      <c r="M11" s="3" t="s">
        <v>920</v>
      </c>
      <c r="N11" s="3" t="s">
        <v>921</v>
      </c>
      <c r="V11" s="5">
        <v>39000</v>
      </c>
      <c r="W11" s="5">
        <v>36500</v>
      </c>
      <c r="AB11" s="5">
        <v>17000</v>
      </c>
      <c r="AG11" s="5">
        <v>20000</v>
      </c>
      <c r="AO11" s="5">
        <v>50000</v>
      </c>
      <c r="AQ11" s="5"/>
      <c r="AR11" s="5">
        <v>7000</v>
      </c>
      <c r="AS11" s="5">
        <v>7500</v>
      </c>
      <c r="AT11" s="5">
        <v>14000</v>
      </c>
      <c r="AV11" s="5">
        <v>31000</v>
      </c>
      <c r="AX11" s="5">
        <v>13000</v>
      </c>
    </row>
    <row r="12" spans="1:67" ht="72" customHeight="1" thickTop="1" thickBot="1" x14ac:dyDescent="0.45">
      <c r="A12" s="23">
        <v>45950</v>
      </c>
      <c r="B12" s="3" t="s">
        <v>1414</v>
      </c>
      <c r="C12" s="5">
        <v>60000</v>
      </c>
      <c r="D12" s="5">
        <v>12000</v>
      </c>
      <c r="M12" s="3" t="s">
        <v>922</v>
      </c>
      <c r="AG12" s="5">
        <v>12500</v>
      </c>
      <c r="AQ12" s="5"/>
      <c r="AR12" s="5">
        <v>5000</v>
      </c>
      <c r="AS12" s="5">
        <v>5500</v>
      </c>
      <c r="AT12" s="5"/>
      <c r="AW12" s="5">
        <v>17000</v>
      </c>
      <c r="AX12" s="5">
        <v>20000</v>
      </c>
    </row>
    <row r="13" spans="1:67" ht="72" customHeight="1" thickTop="1" thickBot="1" x14ac:dyDescent="0.45">
      <c r="A13" s="23">
        <v>45950</v>
      </c>
      <c r="B13" s="3" t="s">
        <v>919</v>
      </c>
      <c r="C13" s="5">
        <v>194500</v>
      </c>
      <c r="D13" s="5">
        <v>38900</v>
      </c>
      <c r="E13" s="5">
        <v>0</v>
      </c>
      <c r="L13" s="5">
        <v>100</v>
      </c>
      <c r="M13" s="3" t="s">
        <v>923</v>
      </c>
      <c r="N13" s="3" t="s">
        <v>924</v>
      </c>
      <c r="V13" s="5">
        <v>28000</v>
      </c>
      <c r="W13" s="5">
        <v>27000</v>
      </c>
      <c r="AA13" s="5">
        <v>23000</v>
      </c>
      <c r="AB13" s="5">
        <v>25000</v>
      </c>
      <c r="AG13" s="5">
        <v>11000</v>
      </c>
      <c r="AH13" s="5">
        <v>13500</v>
      </c>
      <c r="AJ13" s="5">
        <v>5000</v>
      </c>
      <c r="AK13" s="5">
        <v>27000</v>
      </c>
      <c r="AQ13" s="5">
        <v>12500</v>
      </c>
      <c r="AT13" s="5"/>
      <c r="AX13" s="5">
        <v>22500</v>
      </c>
    </row>
    <row r="14" spans="1:67" ht="72" customHeight="1" thickTop="1" thickBot="1" x14ac:dyDescent="0.45">
      <c r="A14" s="23">
        <v>45951</v>
      </c>
      <c r="B14" s="3" t="s">
        <v>919</v>
      </c>
      <c r="C14" s="5">
        <v>371700</v>
      </c>
      <c r="D14" s="5">
        <v>37200</v>
      </c>
      <c r="E14" s="5">
        <v>15900</v>
      </c>
      <c r="L14" s="5">
        <v>100</v>
      </c>
      <c r="M14" s="3" t="s">
        <v>925</v>
      </c>
      <c r="N14" s="3" t="s">
        <v>926</v>
      </c>
      <c r="V14" s="5">
        <v>70000</v>
      </c>
      <c r="W14" s="5">
        <v>29400</v>
      </c>
      <c r="AA14" s="5">
        <v>16800</v>
      </c>
      <c r="AG14" s="5">
        <v>28700</v>
      </c>
      <c r="AH14" s="5">
        <v>25900</v>
      </c>
      <c r="AJ14" s="5">
        <v>7000</v>
      </c>
      <c r="AK14" s="5">
        <v>28700</v>
      </c>
      <c r="AL14" s="5">
        <v>28000</v>
      </c>
      <c r="AO14" s="5">
        <v>16100</v>
      </c>
      <c r="AQ14" s="5">
        <v>16800</v>
      </c>
      <c r="AR14" s="5">
        <v>7000</v>
      </c>
      <c r="AT14" s="5"/>
      <c r="AV14" s="5">
        <v>58800</v>
      </c>
      <c r="AW14" s="5">
        <v>19600</v>
      </c>
      <c r="AX14" s="5">
        <v>18900</v>
      </c>
    </row>
    <row r="15" spans="1:67" ht="72" customHeight="1" thickTop="1" thickBot="1" x14ac:dyDescent="0.45">
      <c r="A15" s="23">
        <v>45964</v>
      </c>
      <c r="B15" s="3" t="s">
        <v>897</v>
      </c>
      <c r="C15" s="5">
        <v>164800</v>
      </c>
      <c r="D15" s="5">
        <v>24700</v>
      </c>
      <c r="E15" s="5">
        <v>16500</v>
      </c>
      <c r="M15" s="3" t="s">
        <v>1278</v>
      </c>
      <c r="N15" s="3" t="s">
        <v>927</v>
      </c>
      <c r="AA15" s="5">
        <v>30000</v>
      </c>
      <c r="AB15" s="5">
        <v>15200</v>
      </c>
      <c r="AO15" s="5">
        <v>12000</v>
      </c>
      <c r="AP15" s="5">
        <v>8800</v>
      </c>
      <c r="AQ15" s="5"/>
      <c r="AT15" s="5"/>
      <c r="AV15" s="5">
        <v>30000</v>
      </c>
      <c r="AW15" s="5">
        <v>16400</v>
      </c>
      <c r="AX15" s="5">
        <v>28400</v>
      </c>
      <c r="AY15" s="5">
        <v>24000</v>
      </c>
    </row>
    <row r="16" spans="1:67" ht="72" customHeight="1" thickTop="1" thickBot="1" x14ac:dyDescent="0.45">
      <c r="A16" s="23">
        <v>45969</v>
      </c>
      <c r="B16" s="3" t="s">
        <v>1412</v>
      </c>
      <c r="C16" s="5">
        <v>50000</v>
      </c>
      <c r="D16" s="5">
        <v>10000</v>
      </c>
      <c r="E16" s="5">
        <v>0</v>
      </c>
      <c r="L16" s="5">
        <v>100</v>
      </c>
      <c r="M16" s="3" t="s">
        <v>928</v>
      </c>
      <c r="N16" s="3" t="s">
        <v>929</v>
      </c>
      <c r="W16" s="5">
        <v>5000</v>
      </c>
      <c r="AA16" s="5">
        <v>5000</v>
      </c>
      <c r="AB16" s="5">
        <v>5000</v>
      </c>
      <c r="AQ16" s="5"/>
      <c r="AT16" s="5"/>
      <c r="AX16" s="5">
        <v>5000</v>
      </c>
    </row>
    <row r="17" spans="1:67" ht="72" customHeight="1" thickTop="1" thickBot="1" x14ac:dyDescent="0.45">
      <c r="A17" s="23">
        <v>45971</v>
      </c>
      <c r="B17" s="3" t="s">
        <v>1413</v>
      </c>
      <c r="C17" s="5">
        <v>105000</v>
      </c>
      <c r="D17" s="5">
        <v>21000</v>
      </c>
      <c r="E17" s="5">
        <v>0</v>
      </c>
      <c r="L17" s="5">
        <v>250</v>
      </c>
      <c r="M17" s="3" t="s">
        <v>930</v>
      </c>
      <c r="N17" s="3" t="s">
        <v>931</v>
      </c>
      <c r="W17" s="5">
        <v>11000</v>
      </c>
      <c r="AA17" s="5">
        <v>10000</v>
      </c>
      <c r="AL17" s="5">
        <v>11500</v>
      </c>
      <c r="AQ17" s="5"/>
      <c r="AT17" s="5"/>
    </row>
    <row r="18" spans="1:67" ht="72" customHeight="1" thickTop="1" thickBot="1" x14ac:dyDescent="0.45">
      <c r="A18" s="23">
        <v>45972</v>
      </c>
      <c r="B18" s="3" t="s">
        <v>932</v>
      </c>
      <c r="C18" s="5">
        <v>139000</v>
      </c>
      <c r="D18" s="5">
        <v>34750</v>
      </c>
      <c r="M18" s="3" t="s">
        <v>933</v>
      </c>
      <c r="V18" s="5">
        <v>50000</v>
      </c>
      <c r="AQ18" s="5"/>
      <c r="AT18" s="5"/>
      <c r="AV18" s="5">
        <v>40000</v>
      </c>
      <c r="AW18" s="5">
        <v>25000</v>
      </c>
      <c r="AY18" s="5">
        <v>24000</v>
      </c>
    </row>
    <row r="19" spans="1:67" ht="72" customHeight="1" thickTop="1" thickBot="1" x14ac:dyDescent="0.45">
      <c r="A19" s="23">
        <v>45973</v>
      </c>
      <c r="B19" s="3" t="s">
        <v>955</v>
      </c>
      <c r="C19" s="5">
        <v>278600</v>
      </c>
      <c r="D19" s="5">
        <v>27800</v>
      </c>
      <c r="E19" s="5">
        <v>9300</v>
      </c>
      <c r="L19" s="5">
        <v>250</v>
      </c>
      <c r="M19" s="3" t="s">
        <v>956</v>
      </c>
      <c r="N19" s="3" t="s">
        <v>957</v>
      </c>
      <c r="V19" s="5">
        <v>40000</v>
      </c>
      <c r="W19" s="5">
        <v>18000</v>
      </c>
      <c r="AA19" s="5">
        <v>28000</v>
      </c>
      <c r="AH19" s="5">
        <v>31100</v>
      </c>
      <c r="AJ19" s="5">
        <v>6000</v>
      </c>
      <c r="AK19" s="5">
        <v>9000</v>
      </c>
      <c r="AL19" s="5">
        <v>26000</v>
      </c>
      <c r="AO19" s="5">
        <v>21000</v>
      </c>
      <c r="AQ19" s="5"/>
      <c r="AR19" s="5">
        <v>15200</v>
      </c>
      <c r="AS19" s="5">
        <v>7800</v>
      </c>
      <c r="AT19" s="5"/>
      <c r="AU19" s="5">
        <v>18000</v>
      </c>
      <c r="AV19" s="5">
        <v>34000</v>
      </c>
      <c r="AW19" s="5">
        <v>21500</v>
      </c>
      <c r="AY19" s="5">
        <v>3000</v>
      </c>
    </row>
    <row r="20" spans="1:67" ht="72" customHeight="1" thickTop="1" thickBot="1" x14ac:dyDescent="0.45">
      <c r="A20" s="23">
        <v>45974</v>
      </c>
      <c r="B20" s="3" t="s">
        <v>958</v>
      </c>
      <c r="C20" s="5">
        <v>80800</v>
      </c>
      <c r="D20" s="5">
        <v>13500</v>
      </c>
      <c r="E20" s="5">
        <v>0</v>
      </c>
      <c r="L20" s="5">
        <v>250</v>
      </c>
      <c r="M20" s="3" t="s">
        <v>959</v>
      </c>
      <c r="N20" s="3" t="s">
        <v>960</v>
      </c>
      <c r="V20" s="5">
        <v>20100</v>
      </c>
      <c r="W20" s="5">
        <v>17300</v>
      </c>
      <c r="AJ20" s="5">
        <v>4500</v>
      </c>
      <c r="AQ20" s="5"/>
      <c r="AR20" s="5">
        <v>16200</v>
      </c>
      <c r="AS20" s="5">
        <v>6000</v>
      </c>
      <c r="AT20" s="5"/>
      <c r="AU20" s="5">
        <v>6000</v>
      </c>
      <c r="AY20" s="5">
        <v>5500</v>
      </c>
    </row>
    <row r="21" spans="1:67" ht="72" customHeight="1" thickTop="1" thickBot="1" x14ac:dyDescent="0.45">
      <c r="A21" s="23">
        <v>45975</v>
      </c>
      <c r="B21" s="3" t="s">
        <v>1413</v>
      </c>
      <c r="C21" s="5">
        <v>781000</v>
      </c>
      <c r="D21" s="5">
        <v>156200</v>
      </c>
      <c r="E21" s="5">
        <v>0</v>
      </c>
      <c r="L21" s="5">
        <v>250</v>
      </c>
      <c r="M21" s="3" t="s">
        <v>963</v>
      </c>
      <c r="N21" s="3" t="s">
        <v>964</v>
      </c>
      <c r="V21" s="5">
        <v>60500</v>
      </c>
      <c r="W21" s="5">
        <v>30100</v>
      </c>
      <c r="AL21" s="5">
        <v>40200</v>
      </c>
      <c r="AQ21" s="5"/>
      <c r="AT21" s="5"/>
    </row>
    <row r="22" spans="1:67" ht="72" customHeight="1" thickTop="1" thickBot="1" x14ac:dyDescent="0.45">
      <c r="A22" s="23">
        <v>45977</v>
      </c>
      <c r="B22" s="3" t="s">
        <v>1083</v>
      </c>
      <c r="C22" s="5">
        <v>37000</v>
      </c>
      <c r="D22" s="5">
        <v>13000</v>
      </c>
      <c r="E22" s="5">
        <v>5000</v>
      </c>
      <c r="L22" s="5">
        <v>50</v>
      </c>
      <c r="M22" s="3" t="s">
        <v>1081</v>
      </c>
      <c r="N22" s="3" t="s">
        <v>1082</v>
      </c>
      <c r="AA22" s="5">
        <v>12000</v>
      </c>
      <c r="AO22" s="5">
        <v>6000</v>
      </c>
      <c r="AP22" s="5">
        <v>7000</v>
      </c>
      <c r="AQ22" s="5"/>
      <c r="AT22" s="5"/>
      <c r="AV22" s="5">
        <v>12000</v>
      </c>
    </row>
    <row r="23" spans="1:67" ht="72" customHeight="1" thickTop="1" thickBot="1" x14ac:dyDescent="0.45">
      <c r="A23" s="23">
        <v>45978</v>
      </c>
      <c r="B23" s="3" t="s">
        <v>1412</v>
      </c>
      <c r="C23" s="5">
        <v>30000</v>
      </c>
      <c r="D23" s="5">
        <v>6000</v>
      </c>
      <c r="E23" s="5">
        <v>0</v>
      </c>
      <c r="L23" s="5">
        <v>100</v>
      </c>
      <c r="M23" s="3" t="s">
        <v>1113</v>
      </c>
      <c r="N23" s="3" t="s">
        <v>1112</v>
      </c>
      <c r="V23" s="5">
        <v>3000</v>
      </c>
      <c r="AK23" s="5">
        <v>3000</v>
      </c>
      <c r="AQ23" s="5"/>
      <c r="AR23" s="5">
        <v>3000</v>
      </c>
      <c r="AT23" s="5"/>
      <c r="AW23" s="5">
        <v>3000</v>
      </c>
    </row>
    <row r="24" spans="1:67" ht="72" customHeight="1" thickTop="1" thickBot="1" x14ac:dyDescent="0.45">
      <c r="A24" s="23">
        <v>45983</v>
      </c>
      <c r="B24" s="3" t="s">
        <v>1265</v>
      </c>
      <c r="C24" s="5">
        <v>51000</v>
      </c>
      <c r="D24" s="5">
        <v>11900</v>
      </c>
      <c r="E24" s="5">
        <v>5100</v>
      </c>
      <c r="M24" s="3" t="s">
        <v>1267</v>
      </c>
      <c r="N24" s="3" t="s">
        <v>1266</v>
      </c>
      <c r="AB24" s="5">
        <v>10800</v>
      </c>
      <c r="AH24" s="5">
        <v>10200</v>
      </c>
      <c r="AK24" s="5">
        <v>5400</v>
      </c>
      <c r="AO24" s="5">
        <v>7500</v>
      </c>
      <c r="AQ24" s="5"/>
      <c r="AT24" s="5"/>
      <c r="AV24" s="5">
        <v>15000</v>
      </c>
      <c r="AY24" s="5">
        <v>2100</v>
      </c>
    </row>
    <row r="25" spans="1:67" ht="72" customHeight="1" thickTop="1" thickBot="1" x14ac:dyDescent="0.45">
      <c r="A25" s="23">
        <v>45984</v>
      </c>
      <c r="B25" s="3" t="s">
        <v>905</v>
      </c>
      <c r="C25" s="5">
        <v>142500</v>
      </c>
      <c r="D25" s="5">
        <v>22800</v>
      </c>
      <c r="E25" s="5">
        <v>5700</v>
      </c>
      <c r="L25" s="5">
        <v>100</v>
      </c>
      <c r="M25" s="3" t="s">
        <v>1274</v>
      </c>
      <c r="N25" s="3" t="s">
        <v>1275</v>
      </c>
      <c r="V25" s="5">
        <v>25000</v>
      </c>
      <c r="AB25" s="5">
        <v>11500</v>
      </c>
      <c r="AH25" s="5">
        <v>12500</v>
      </c>
      <c r="AK25" s="5">
        <v>17000</v>
      </c>
      <c r="AO25" s="5">
        <v>16500</v>
      </c>
      <c r="AP25" s="5">
        <v>15000</v>
      </c>
      <c r="AQ25" s="5"/>
      <c r="AR25" s="5">
        <v>10000</v>
      </c>
      <c r="AS25" s="5">
        <v>7500</v>
      </c>
      <c r="AT25" s="5"/>
      <c r="AV25" s="5">
        <v>17500</v>
      </c>
      <c r="AX25" s="5">
        <v>10000</v>
      </c>
    </row>
    <row r="26" spans="1:67" ht="72" customHeight="1" thickTop="1" thickBot="1" x14ac:dyDescent="0.45">
      <c r="A26" s="35">
        <v>45992</v>
      </c>
      <c r="B26" s="6" t="s">
        <v>1412</v>
      </c>
      <c r="C26" s="59">
        <v>30000</v>
      </c>
      <c r="D26" s="59">
        <v>6000</v>
      </c>
      <c r="E26" s="59">
        <v>0</v>
      </c>
      <c r="F26" s="59"/>
      <c r="G26" s="59"/>
      <c r="H26" s="59"/>
      <c r="I26" s="59"/>
      <c r="J26" s="59"/>
      <c r="K26" s="59"/>
      <c r="L26" s="59">
        <v>100</v>
      </c>
      <c r="M26" s="6" t="s">
        <v>1379</v>
      </c>
      <c r="N26" s="6" t="s">
        <v>1380</v>
      </c>
      <c r="O26" s="6"/>
      <c r="P26" s="6"/>
      <c r="Q26" s="6"/>
      <c r="R26" s="6"/>
      <c r="S26" s="6"/>
      <c r="T26" s="6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59"/>
      <c r="AJ26" s="59">
        <v>3000</v>
      </c>
      <c r="AK26" s="59"/>
      <c r="AL26" s="59"/>
      <c r="AM26" s="59"/>
      <c r="AN26" s="59"/>
      <c r="AO26" s="59"/>
      <c r="AP26" s="59"/>
      <c r="AQ26" s="59"/>
      <c r="AR26" s="59"/>
      <c r="AS26" s="59"/>
      <c r="AT26" s="59"/>
      <c r="AU26" s="59">
        <v>3000</v>
      </c>
      <c r="AV26" s="59">
        <v>3000</v>
      </c>
      <c r="AW26" s="59"/>
      <c r="AX26" s="59">
        <v>3000</v>
      </c>
      <c r="AY26" s="59"/>
      <c r="AZ26" s="59"/>
      <c r="BA26" s="59"/>
      <c r="BB26" s="59"/>
      <c r="BC26" s="60"/>
      <c r="BD26" s="60"/>
      <c r="BE26" s="60"/>
      <c r="BF26" s="60"/>
      <c r="BG26" s="60"/>
      <c r="BH26" s="60"/>
      <c r="BI26" s="60"/>
      <c r="BJ26" s="60"/>
      <c r="BK26" s="60"/>
      <c r="BL26" s="60"/>
      <c r="BM26" s="60"/>
      <c r="BN26" s="60"/>
      <c r="BO26" s="60"/>
    </row>
    <row r="27" spans="1:67" ht="72" customHeight="1" thickTop="1" thickBot="1" x14ac:dyDescent="0.45">
      <c r="A27" s="35">
        <v>45995</v>
      </c>
      <c r="B27" s="6" t="s">
        <v>1401</v>
      </c>
      <c r="C27" s="59">
        <v>226200</v>
      </c>
      <c r="D27" s="59">
        <v>26400</v>
      </c>
      <c r="E27" s="59">
        <v>11300</v>
      </c>
      <c r="F27" s="59"/>
      <c r="G27" s="59"/>
      <c r="H27" s="59"/>
      <c r="I27" s="59"/>
      <c r="J27" s="59"/>
      <c r="K27" s="59"/>
      <c r="L27" s="59">
        <v>100</v>
      </c>
      <c r="M27" s="6" t="s">
        <v>1403</v>
      </c>
      <c r="N27" s="6" t="s">
        <v>1402</v>
      </c>
      <c r="O27" s="6"/>
      <c r="P27" s="6"/>
      <c r="Q27" s="6"/>
      <c r="R27" s="6"/>
      <c r="S27" s="6"/>
      <c r="T27" s="6"/>
      <c r="U27" s="59"/>
      <c r="V27" s="59">
        <v>44400</v>
      </c>
      <c r="W27" s="59"/>
      <c r="X27" s="59"/>
      <c r="Y27" s="59"/>
      <c r="Z27" s="59"/>
      <c r="AA27" s="59"/>
      <c r="AB27" s="59">
        <v>27000</v>
      </c>
      <c r="AC27" s="59"/>
      <c r="AD27" s="59"/>
      <c r="AE27" s="59"/>
      <c r="AF27" s="59"/>
      <c r="AG27" s="59"/>
      <c r="AH27" s="59">
        <v>24600</v>
      </c>
      <c r="AI27" s="59"/>
      <c r="AJ27" s="59">
        <v>6000</v>
      </c>
      <c r="AK27" s="59">
        <v>10200</v>
      </c>
      <c r="AL27" s="59"/>
      <c r="AM27" s="59"/>
      <c r="AN27" s="59"/>
      <c r="AO27" s="59">
        <v>21000</v>
      </c>
      <c r="AP27" s="59"/>
      <c r="AQ27" s="59"/>
      <c r="AR27" s="59">
        <v>6000</v>
      </c>
      <c r="AS27" s="59">
        <v>7800</v>
      </c>
      <c r="AT27" s="59"/>
      <c r="AU27" s="59">
        <v>6600</v>
      </c>
      <c r="AV27" s="59">
        <v>39600</v>
      </c>
      <c r="AW27" s="59"/>
      <c r="AX27" s="59">
        <v>27000</v>
      </c>
      <c r="AY27" s="59">
        <v>6000</v>
      </c>
      <c r="AZ27" s="59"/>
      <c r="BA27" s="59"/>
      <c r="BB27" s="59"/>
      <c r="BC27" s="60"/>
      <c r="BD27" s="60"/>
      <c r="BE27" s="60"/>
      <c r="BF27" s="60"/>
      <c r="BG27" s="60"/>
      <c r="BH27" s="60"/>
      <c r="BI27" s="60"/>
      <c r="BJ27" s="60"/>
      <c r="BK27" s="60"/>
      <c r="BL27" s="60"/>
      <c r="BM27" s="60"/>
      <c r="BN27" s="60"/>
      <c r="BO27" s="60"/>
    </row>
    <row r="28" spans="1:67" ht="72" customHeight="1" thickTop="1" thickBot="1" x14ac:dyDescent="0.45">
      <c r="A28" s="35">
        <v>45997</v>
      </c>
      <c r="B28" s="6" t="s">
        <v>1407</v>
      </c>
      <c r="C28" s="59">
        <v>176100</v>
      </c>
      <c r="D28" s="59">
        <v>31300</v>
      </c>
      <c r="E28" s="59">
        <v>31000</v>
      </c>
      <c r="F28" s="59">
        <v>26200</v>
      </c>
      <c r="G28" s="59">
        <v>23000</v>
      </c>
      <c r="H28" s="59">
        <v>22500</v>
      </c>
      <c r="I28" s="59">
        <v>22100</v>
      </c>
      <c r="J28" s="59">
        <v>13000</v>
      </c>
      <c r="K28" s="59">
        <v>7000</v>
      </c>
      <c r="L28" s="59" t="s">
        <v>1408</v>
      </c>
      <c r="M28" s="6" t="s">
        <v>186</v>
      </c>
      <c r="N28" s="6" t="s">
        <v>179</v>
      </c>
      <c r="O28" s="6" t="s">
        <v>182</v>
      </c>
      <c r="P28" s="6" t="s">
        <v>160</v>
      </c>
      <c r="Q28" s="6" t="s">
        <v>190</v>
      </c>
      <c r="R28" s="6" t="s">
        <v>170</v>
      </c>
      <c r="S28" s="6" t="s">
        <v>165</v>
      </c>
      <c r="T28" s="6" t="s">
        <v>965</v>
      </c>
      <c r="U28" s="59"/>
      <c r="V28" s="59">
        <v>31300</v>
      </c>
      <c r="W28" s="59">
        <v>31000</v>
      </c>
      <c r="X28" s="59"/>
      <c r="Y28" s="59"/>
      <c r="Z28" s="59"/>
      <c r="AA28" s="59"/>
      <c r="AB28" s="59">
        <v>23000</v>
      </c>
      <c r="AC28" s="59"/>
      <c r="AD28" s="59"/>
      <c r="AE28" s="59"/>
      <c r="AF28" s="59"/>
      <c r="AG28" s="59"/>
      <c r="AH28" s="59">
        <v>22500</v>
      </c>
      <c r="AI28" s="59"/>
      <c r="AJ28" s="59"/>
      <c r="AK28" s="59">
        <v>26200</v>
      </c>
      <c r="AL28" s="59"/>
      <c r="AM28" s="59"/>
      <c r="AN28" s="59"/>
      <c r="AO28" s="59"/>
      <c r="AP28" s="59">
        <v>10000</v>
      </c>
      <c r="AQ28" s="59"/>
      <c r="AR28" s="59"/>
      <c r="AS28" s="59">
        <v>10000</v>
      </c>
      <c r="AT28" s="59"/>
      <c r="AU28" s="59"/>
      <c r="AV28" s="59"/>
      <c r="AW28" s="59"/>
      <c r="AX28" s="59"/>
      <c r="AY28" s="59"/>
      <c r="AZ28" s="59">
        <v>22100</v>
      </c>
      <c r="BA28" s="59"/>
      <c r="BB28" s="59"/>
      <c r="BC28" s="60"/>
      <c r="BD28" s="60"/>
      <c r="BE28" s="60"/>
      <c r="BF28" s="60"/>
      <c r="BG28" s="60"/>
      <c r="BH28" s="60"/>
      <c r="BI28" s="60"/>
      <c r="BJ28" s="60"/>
      <c r="BK28" s="60"/>
      <c r="BL28" s="60"/>
      <c r="BM28" s="60"/>
      <c r="BN28" s="60"/>
      <c r="BO28" s="60"/>
    </row>
    <row r="29" spans="1:67" ht="72" customHeight="1" thickTop="1" thickBot="1" x14ac:dyDescent="0.45">
      <c r="A29" s="35">
        <v>46000</v>
      </c>
      <c r="B29" s="6" t="s">
        <v>1409</v>
      </c>
      <c r="C29" s="59">
        <v>85600</v>
      </c>
      <c r="D29" s="59">
        <v>15000</v>
      </c>
      <c r="E29" s="59">
        <v>6400</v>
      </c>
      <c r="F29" s="59"/>
      <c r="G29" s="59"/>
      <c r="H29" s="59"/>
      <c r="I29" s="59"/>
      <c r="J29" s="59"/>
      <c r="K29" s="59"/>
      <c r="L29" s="59"/>
      <c r="M29" s="6" t="s">
        <v>1410</v>
      </c>
      <c r="N29" s="6" t="s">
        <v>1411</v>
      </c>
      <c r="O29" s="6"/>
      <c r="P29" s="6"/>
      <c r="Q29" s="6"/>
      <c r="R29" s="6"/>
      <c r="S29" s="6"/>
      <c r="T29" s="6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  <c r="AF29" s="59"/>
      <c r="AG29" s="59"/>
      <c r="AH29" s="59">
        <v>17200</v>
      </c>
      <c r="AI29" s="59"/>
      <c r="AJ29" s="59"/>
      <c r="AK29" s="59">
        <v>6000</v>
      </c>
      <c r="AL29" s="59"/>
      <c r="AM29" s="59"/>
      <c r="AN29" s="59"/>
      <c r="AO29" s="59">
        <v>13600</v>
      </c>
      <c r="AP29" s="59">
        <v>8000</v>
      </c>
      <c r="AQ29" s="59"/>
      <c r="AR29" s="59"/>
      <c r="AS29" s="59"/>
      <c r="AT29" s="59"/>
      <c r="AU29" s="59"/>
      <c r="AV29" s="59">
        <v>18800</v>
      </c>
      <c r="AW29" s="59">
        <v>10000</v>
      </c>
      <c r="AX29" s="59">
        <v>9200</v>
      </c>
      <c r="AY29" s="59">
        <v>2800</v>
      </c>
      <c r="AZ29" s="59"/>
      <c r="BA29" s="59"/>
      <c r="BB29" s="59"/>
      <c r="BC29" s="60"/>
      <c r="BD29" s="60"/>
      <c r="BE29" s="60"/>
      <c r="BF29" s="60"/>
      <c r="BG29" s="60"/>
      <c r="BH29" s="60"/>
      <c r="BI29" s="60"/>
      <c r="BJ29" s="60"/>
      <c r="BK29" s="60"/>
      <c r="BL29" s="60"/>
      <c r="BM29" s="60"/>
      <c r="BN29" s="60"/>
      <c r="BO29" s="60"/>
    </row>
    <row r="30" spans="1:67" ht="72" customHeight="1" thickTop="1" thickBot="1" x14ac:dyDescent="0.45">
      <c r="A30" s="35">
        <v>46005</v>
      </c>
      <c r="B30" s="6" t="s">
        <v>1417</v>
      </c>
      <c r="C30" s="59">
        <v>30500</v>
      </c>
      <c r="D30" s="59">
        <v>6100</v>
      </c>
      <c r="E30" s="59">
        <v>0</v>
      </c>
      <c r="F30" s="59"/>
      <c r="G30" s="59"/>
      <c r="H30" s="59"/>
      <c r="I30" s="59"/>
      <c r="J30" s="59"/>
      <c r="K30" s="59"/>
      <c r="L30" s="59">
        <v>100</v>
      </c>
      <c r="M30" s="6" t="s">
        <v>1415</v>
      </c>
      <c r="N30" s="6" t="s">
        <v>1416</v>
      </c>
      <c r="O30" s="6"/>
      <c r="P30" s="6"/>
      <c r="Q30" s="6"/>
      <c r="R30" s="6"/>
      <c r="S30" s="6"/>
      <c r="T30" s="6"/>
      <c r="U30" s="59"/>
      <c r="V30" s="59">
        <v>3000</v>
      </c>
      <c r="W30" s="59">
        <v>3100</v>
      </c>
      <c r="X30" s="59"/>
      <c r="Y30" s="59"/>
      <c r="Z30" s="59"/>
      <c r="AA30" s="59"/>
      <c r="AB30" s="59"/>
      <c r="AC30" s="59"/>
      <c r="AD30" s="59"/>
      <c r="AE30" s="59"/>
      <c r="AF30" s="59"/>
      <c r="AG30" s="59"/>
      <c r="AH30" s="59"/>
      <c r="AI30" s="59"/>
      <c r="AJ30" s="59">
        <v>2100</v>
      </c>
      <c r="AK30" s="59">
        <v>4100</v>
      </c>
      <c r="AL30" s="59"/>
      <c r="AM30" s="59"/>
      <c r="AN30" s="59"/>
      <c r="AO30" s="59"/>
      <c r="AP30" s="59"/>
      <c r="AQ30" s="59"/>
      <c r="AR30" s="59"/>
      <c r="AS30" s="59"/>
      <c r="AT30" s="59"/>
      <c r="AU30" s="59"/>
      <c r="AV30" s="59"/>
      <c r="AW30" s="59"/>
      <c r="AX30" s="59"/>
      <c r="AY30" s="59"/>
      <c r="AZ30" s="59"/>
      <c r="BA30" s="59"/>
      <c r="BB30" s="59"/>
      <c r="BC30" s="60"/>
      <c r="BD30" s="60"/>
      <c r="BE30" s="60"/>
      <c r="BF30" s="60"/>
      <c r="BG30" s="60"/>
      <c r="BH30" s="60"/>
      <c r="BI30" s="60"/>
      <c r="BJ30" s="60"/>
      <c r="BK30" s="60"/>
      <c r="BL30" s="60"/>
      <c r="BM30" s="60"/>
      <c r="BN30" s="60"/>
      <c r="BO30" s="60"/>
    </row>
    <row r="31" spans="1:67" ht="72" customHeight="1" thickTop="1" thickBot="1" x14ac:dyDescent="0.45">
      <c r="A31" s="35">
        <v>46010</v>
      </c>
      <c r="B31" s="6" t="s">
        <v>1419</v>
      </c>
      <c r="C31" s="59">
        <v>30000</v>
      </c>
      <c r="D31" s="59">
        <v>3000</v>
      </c>
      <c r="E31" s="59">
        <v>3000</v>
      </c>
      <c r="F31" s="59"/>
      <c r="G31" s="59"/>
      <c r="H31" s="59"/>
      <c r="I31" s="59"/>
      <c r="J31" s="59"/>
      <c r="K31" s="59"/>
      <c r="L31" s="59">
        <v>100</v>
      </c>
      <c r="M31" s="6" t="s">
        <v>1420</v>
      </c>
      <c r="N31" s="6" t="s">
        <v>1421</v>
      </c>
      <c r="O31" s="6"/>
      <c r="P31" s="6"/>
      <c r="Q31" s="6"/>
      <c r="R31" s="6"/>
      <c r="S31" s="6"/>
      <c r="T31" s="6"/>
      <c r="U31" s="59"/>
      <c r="V31" s="59">
        <v>3000</v>
      </c>
      <c r="W31" s="59">
        <v>3000</v>
      </c>
      <c r="X31" s="59"/>
      <c r="Y31" s="59"/>
      <c r="Z31" s="59"/>
      <c r="AA31" s="59">
        <v>3000</v>
      </c>
      <c r="AB31" s="59"/>
      <c r="AC31" s="59"/>
      <c r="AD31" s="59"/>
      <c r="AE31" s="59"/>
      <c r="AF31" s="59"/>
      <c r="AG31" s="59"/>
      <c r="AH31" s="59"/>
      <c r="AI31" s="59"/>
      <c r="AJ31" s="59">
        <v>3000</v>
      </c>
      <c r="AK31" s="59"/>
      <c r="AL31" s="59"/>
      <c r="AM31" s="59"/>
      <c r="AN31" s="59"/>
      <c r="AO31" s="59">
        <v>3000</v>
      </c>
      <c r="AP31" s="59"/>
      <c r="AQ31" s="59"/>
      <c r="AR31" s="59"/>
      <c r="AS31" s="59"/>
      <c r="AT31" s="59"/>
      <c r="AU31" s="59"/>
      <c r="AV31" s="59">
        <v>3000</v>
      </c>
      <c r="AW31" s="59">
        <v>3000</v>
      </c>
      <c r="AX31" s="59">
        <v>3000</v>
      </c>
      <c r="AY31" s="59">
        <v>3000</v>
      </c>
      <c r="AZ31" s="59">
        <v>3000</v>
      </c>
      <c r="BA31" s="59"/>
      <c r="BB31" s="59"/>
      <c r="BC31" s="60"/>
      <c r="BD31" s="60"/>
      <c r="BE31" s="60"/>
      <c r="BF31" s="60"/>
      <c r="BG31" s="60"/>
      <c r="BH31" s="60"/>
      <c r="BI31" s="60"/>
      <c r="BJ31" s="60"/>
      <c r="BK31" s="60"/>
      <c r="BL31" s="60"/>
      <c r="BM31" s="60"/>
      <c r="BN31" s="60"/>
      <c r="BO31" s="60"/>
    </row>
    <row r="32" spans="1:67" ht="72" customHeight="1" thickTop="1" thickBot="1" x14ac:dyDescent="0.45">
      <c r="A32" s="35">
        <v>46010</v>
      </c>
      <c r="B32" s="6" t="s">
        <v>1422</v>
      </c>
      <c r="C32" s="59">
        <v>411100</v>
      </c>
      <c r="D32" s="59">
        <v>53600</v>
      </c>
      <c r="E32" s="59">
        <v>30800</v>
      </c>
      <c r="F32" s="59">
        <v>20500</v>
      </c>
      <c r="G32" s="59">
        <v>10200</v>
      </c>
      <c r="H32" s="59"/>
      <c r="I32" s="59"/>
      <c r="J32" s="59"/>
      <c r="K32" s="59"/>
      <c r="L32" s="59">
        <v>100</v>
      </c>
      <c r="M32" s="6" t="s">
        <v>1423</v>
      </c>
      <c r="N32" s="6" t="s">
        <v>1424</v>
      </c>
      <c r="O32" s="6" t="s">
        <v>1425</v>
      </c>
      <c r="P32" s="6" t="s">
        <v>1426</v>
      </c>
      <c r="Q32" s="6"/>
      <c r="R32" s="6"/>
      <c r="S32" s="6"/>
      <c r="T32" s="6"/>
      <c r="U32" s="59"/>
      <c r="V32" s="59">
        <v>52100</v>
      </c>
      <c r="W32" s="59">
        <v>34100</v>
      </c>
      <c r="X32" s="59"/>
      <c r="Y32" s="59"/>
      <c r="Z32" s="59"/>
      <c r="AA32" s="59">
        <v>41000</v>
      </c>
      <c r="AB32" s="59">
        <v>30000</v>
      </c>
      <c r="AC32" s="59"/>
      <c r="AD32" s="59"/>
      <c r="AE32" s="59"/>
      <c r="AF32" s="59"/>
      <c r="AG32" s="59"/>
      <c r="AH32" s="59">
        <v>32000</v>
      </c>
      <c r="AI32" s="59"/>
      <c r="AJ32" s="59"/>
      <c r="AK32" s="59">
        <v>10100</v>
      </c>
      <c r="AL32" s="59">
        <v>23700</v>
      </c>
      <c r="AM32" s="59"/>
      <c r="AN32" s="59"/>
      <c r="AO32" s="59">
        <v>18300</v>
      </c>
      <c r="AP32" s="59">
        <v>37700</v>
      </c>
      <c r="AQ32" s="59"/>
      <c r="AR32" s="59">
        <v>7000</v>
      </c>
      <c r="AS32" s="59">
        <v>7100</v>
      </c>
      <c r="AT32" s="59"/>
      <c r="AU32" s="59">
        <v>10100</v>
      </c>
      <c r="AV32" s="59">
        <v>51900</v>
      </c>
      <c r="AW32" s="59">
        <v>18600</v>
      </c>
      <c r="AX32" s="59">
        <v>31400</v>
      </c>
      <c r="AY32" s="59">
        <v>6000</v>
      </c>
      <c r="AZ32" s="59"/>
      <c r="BA32" s="59"/>
      <c r="BB32" s="59"/>
      <c r="BC32" s="60"/>
      <c r="BD32" s="60"/>
      <c r="BE32" s="60"/>
      <c r="BF32" s="60"/>
      <c r="BG32" s="60"/>
      <c r="BH32" s="60"/>
      <c r="BI32" s="60"/>
      <c r="BJ32" s="60"/>
      <c r="BK32" s="60"/>
      <c r="BL32" s="60"/>
      <c r="BM32" s="60"/>
      <c r="BN32" s="60"/>
      <c r="BO32" s="60"/>
    </row>
    <row r="33" spans="1:67" ht="72" customHeight="1" thickTop="1" thickBot="1" x14ac:dyDescent="0.45">
      <c r="A33" s="35">
        <v>46012</v>
      </c>
      <c r="B33" s="6" t="s">
        <v>1431</v>
      </c>
      <c r="C33" s="59">
        <v>353200</v>
      </c>
      <c r="D33" s="59">
        <v>58900</v>
      </c>
      <c r="E33" s="59">
        <v>35300</v>
      </c>
      <c r="F33" s="59">
        <v>23500</v>
      </c>
      <c r="G33" s="59"/>
      <c r="H33" s="59"/>
      <c r="I33" s="59"/>
      <c r="J33" s="59"/>
      <c r="K33" s="59"/>
      <c r="L33" s="59">
        <v>100</v>
      </c>
      <c r="M33" s="6" t="s">
        <v>1428</v>
      </c>
      <c r="N33" s="6" t="s">
        <v>1429</v>
      </c>
      <c r="O33" s="6" t="s">
        <v>1430</v>
      </c>
      <c r="P33" s="6"/>
      <c r="Q33" s="6"/>
      <c r="R33" s="6"/>
      <c r="S33" s="6"/>
      <c r="T33" s="6"/>
      <c r="U33" s="59"/>
      <c r="V33" s="59">
        <v>117600</v>
      </c>
      <c r="W33" s="59">
        <v>29000</v>
      </c>
      <c r="X33" s="59"/>
      <c r="Y33" s="59"/>
      <c r="Z33" s="59"/>
      <c r="AA33" s="59"/>
      <c r="AB33" s="59"/>
      <c r="AC33" s="59"/>
      <c r="AD33" s="59"/>
      <c r="AE33" s="59"/>
      <c r="AF33" s="59"/>
      <c r="AG33" s="59"/>
      <c r="AH33" s="59">
        <v>29000</v>
      </c>
      <c r="AI33" s="59"/>
      <c r="AJ33" s="59"/>
      <c r="AK33" s="59"/>
      <c r="AL33" s="59">
        <v>15500</v>
      </c>
      <c r="AM33" s="59"/>
      <c r="AN33" s="59"/>
      <c r="AO33" s="59"/>
      <c r="AP33" s="59"/>
      <c r="AQ33" s="59"/>
      <c r="AR33" s="59">
        <v>6100</v>
      </c>
      <c r="AS33" s="59">
        <v>8000</v>
      </c>
      <c r="AT33" s="59"/>
      <c r="AU33" s="59">
        <v>13000</v>
      </c>
      <c r="AV33" s="59">
        <v>115000</v>
      </c>
      <c r="AW33" s="59"/>
      <c r="AX33" s="59">
        <v>20000</v>
      </c>
      <c r="AY33" s="59"/>
      <c r="AZ33" s="59"/>
      <c r="BA33" s="59"/>
      <c r="BB33" s="59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</row>
    <row r="34" spans="1:67" ht="72" customHeight="1" thickTop="1" thickBot="1" x14ac:dyDescent="0.45">
      <c r="A34" s="35">
        <v>46013</v>
      </c>
      <c r="B34" s="6" t="s">
        <v>1422</v>
      </c>
      <c r="C34" s="59">
        <v>192900</v>
      </c>
      <c r="D34" s="59">
        <v>28900</v>
      </c>
      <c r="E34" s="59">
        <v>19300</v>
      </c>
      <c r="F34" s="59"/>
      <c r="G34" s="59"/>
      <c r="H34" s="59"/>
      <c r="I34" s="59"/>
      <c r="J34" s="59"/>
      <c r="K34" s="59"/>
      <c r="L34" s="59">
        <v>100</v>
      </c>
      <c r="M34" s="6" t="s">
        <v>1435</v>
      </c>
      <c r="N34" s="6" t="s">
        <v>1434</v>
      </c>
      <c r="O34" s="6"/>
      <c r="P34" s="6"/>
      <c r="Q34" s="6"/>
      <c r="R34" s="6"/>
      <c r="S34" s="6"/>
      <c r="T34" s="6"/>
      <c r="U34" s="59"/>
      <c r="V34" s="59"/>
      <c r="W34" s="59"/>
      <c r="X34" s="59"/>
      <c r="Y34" s="59"/>
      <c r="Z34" s="59"/>
      <c r="AA34" s="59">
        <v>40000</v>
      </c>
      <c r="AB34" s="59">
        <v>26700</v>
      </c>
      <c r="AC34" s="59"/>
      <c r="AD34" s="59"/>
      <c r="AE34" s="59"/>
      <c r="AF34" s="59"/>
      <c r="AG34" s="59"/>
      <c r="AH34" s="59"/>
      <c r="AI34" s="59"/>
      <c r="AJ34" s="59"/>
      <c r="AK34" s="59">
        <v>10100</v>
      </c>
      <c r="AL34" s="59"/>
      <c r="AM34" s="59"/>
      <c r="AN34" s="59"/>
      <c r="AO34" s="59"/>
      <c r="AP34" s="59"/>
      <c r="AQ34" s="59"/>
      <c r="AR34" s="59"/>
      <c r="AS34" s="59"/>
      <c r="AT34" s="59"/>
      <c r="AU34" s="59">
        <v>10100</v>
      </c>
      <c r="AV34" s="59"/>
      <c r="AW34" s="59"/>
      <c r="AX34" s="59"/>
      <c r="AY34" s="59"/>
      <c r="AZ34" s="59"/>
      <c r="BA34" s="59"/>
      <c r="BB34" s="59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</row>
    <row r="35" spans="1:67" ht="72" customHeight="1" thickTop="1" thickBot="1" x14ac:dyDescent="0.45">
      <c r="A35" s="35">
        <v>46014</v>
      </c>
      <c r="B35" s="6" t="s">
        <v>1436</v>
      </c>
      <c r="C35" s="59">
        <v>138100</v>
      </c>
      <c r="D35" s="59">
        <v>24900</v>
      </c>
      <c r="E35" s="59">
        <v>2800</v>
      </c>
      <c r="F35" s="59"/>
      <c r="G35" s="59"/>
      <c r="H35" s="59"/>
      <c r="I35" s="59"/>
      <c r="J35" s="59"/>
      <c r="K35" s="59"/>
      <c r="L35" s="59"/>
      <c r="M35" s="6" t="s">
        <v>1437</v>
      </c>
      <c r="N35" s="6" t="s">
        <v>1438</v>
      </c>
      <c r="O35" s="6"/>
      <c r="P35" s="6"/>
      <c r="Q35" s="6"/>
      <c r="R35" s="6"/>
      <c r="S35" s="6"/>
      <c r="T35" s="6"/>
      <c r="U35" s="59"/>
      <c r="V35" s="59"/>
      <c r="W35" s="59"/>
      <c r="X35" s="59"/>
      <c r="Y35" s="59"/>
      <c r="Z35" s="59"/>
      <c r="AA35" s="59">
        <v>26000</v>
      </c>
      <c r="AB35" s="59">
        <v>20100</v>
      </c>
      <c r="AC35" s="59"/>
      <c r="AD35" s="59"/>
      <c r="AE35" s="59"/>
      <c r="AF35" s="59"/>
      <c r="AG35" s="59"/>
      <c r="AH35" s="59">
        <v>25200</v>
      </c>
      <c r="AI35" s="59"/>
      <c r="AJ35" s="59"/>
      <c r="AK35" s="59">
        <v>6000</v>
      </c>
      <c r="AL35" s="59"/>
      <c r="AM35" s="59"/>
      <c r="AN35" s="59"/>
      <c r="AO35" s="59">
        <v>14800</v>
      </c>
      <c r="AP35" s="59">
        <v>5000</v>
      </c>
      <c r="AQ35" s="59"/>
      <c r="AR35" s="59">
        <v>3500</v>
      </c>
      <c r="AS35" s="59">
        <v>5000</v>
      </c>
      <c r="AT35" s="59"/>
      <c r="AU35" s="59"/>
      <c r="AV35" s="59"/>
      <c r="AW35" s="59">
        <v>21000</v>
      </c>
      <c r="AX35" s="59"/>
      <c r="AY35" s="59">
        <v>11200</v>
      </c>
      <c r="AZ35" s="59"/>
      <c r="BA35" s="59"/>
      <c r="BB35" s="59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</row>
    <row r="36" spans="1:67" ht="72" customHeight="1" thickTop="1" thickBot="1" x14ac:dyDescent="0.45">
      <c r="A36" s="35">
        <v>46014</v>
      </c>
      <c r="B36" s="6" t="s">
        <v>1417</v>
      </c>
      <c r="C36" s="59">
        <v>30000</v>
      </c>
      <c r="D36" s="59">
        <v>6000</v>
      </c>
      <c r="E36" s="59">
        <v>0</v>
      </c>
      <c r="F36" s="59"/>
      <c r="G36" s="59"/>
      <c r="H36" s="59"/>
      <c r="I36" s="59"/>
      <c r="J36" s="59"/>
      <c r="K36" s="59"/>
      <c r="L36" s="59"/>
      <c r="M36" s="6" t="s">
        <v>1440</v>
      </c>
      <c r="N36" s="6" t="s">
        <v>1441</v>
      </c>
      <c r="O36" s="6"/>
      <c r="P36" s="6"/>
      <c r="Q36" s="6"/>
      <c r="R36" s="6"/>
      <c r="S36" s="6"/>
      <c r="T36" s="6"/>
      <c r="U36" s="59"/>
      <c r="V36" s="59"/>
      <c r="W36" s="59">
        <v>3000</v>
      </c>
      <c r="X36" s="59"/>
      <c r="Y36" s="59"/>
      <c r="Z36" s="59"/>
      <c r="AA36" s="59"/>
      <c r="AB36" s="59"/>
      <c r="AC36" s="59"/>
      <c r="AD36" s="59"/>
      <c r="AE36" s="59"/>
      <c r="AF36" s="59"/>
      <c r="AG36" s="59"/>
      <c r="AH36" s="59"/>
      <c r="AI36" s="59"/>
      <c r="AJ36" s="59">
        <v>3000</v>
      </c>
      <c r="AK36" s="59"/>
      <c r="AL36" s="59"/>
      <c r="AM36" s="59"/>
      <c r="AN36" s="59"/>
      <c r="AO36" s="59"/>
      <c r="AP36" s="59"/>
      <c r="AQ36" s="59"/>
      <c r="AR36" s="59"/>
      <c r="AS36" s="59"/>
      <c r="AT36" s="59"/>
      <c r="AU36" s="59"/>
      <c r="AV36" s="59"/>
      <c r="AW36" s="59"/>
      <c r="AX36" s="59">
        <v>3000</v>
      </c>
      <c r="AY36" s="59"/>
      <c r="AZ36" s="59"/>
      <c r="BA36" s="59"/>
      <c r="BB36" s="59"/>
      <c r="BC36" s="60"/>
      <c r="BD36" s="60"/>
      <c r="BE36" s="60"/>
      <c r="BF36" s="60"/>
      <c r="BG36" s="60"/>
      <c r="BH36" s="60"/>
      <c r="BI36" s="60"/>
      <c r="BJ36" s="60"/>
      <c r="BK36" s="60"/>
      <c r="BL36" s="60"/>
      <c r="BM36" s="60"/>
      <c r="BN36" s="60"/>
      <c r="BO36" s="60"/>
    </row>
    <row r="37" spans="1:67" ht="72" customHeight="1" thickTop="1" thickBot="1" x14ac:dyDescent="0.45">
      <c r="A37" s="35">
        <v>46015</v>
      </c>
      <c r="B37" s="6" t="s">
        <v>932</v>
      </c>
      <c r="C37" s="59">
        <v>24900</v>
      </c>
      <c r="D37" s="59">
        <v>6200</v>
      </c>
      <c r="E37" s="59"/>
      <c r="F37" s="59"/>
      <c r="G37" s="59"/>
      <c r="H37" s="59"/>
      <c r="I37" s="59"/>
      <c r="J37" s="59"/>
      <c r="K37" s="59"/>
      <c r="L37" s="59"/>
      <c r="M37" s="6" t="s">
        <v>1442</v>
      </c>
      <c r="N37" s="6"/>
      <c r="O37" s="6"/>
      <c r="P37" s="6"/>
      <c r="Q37" s="6"/>
      <c r="R37" s="6"/>
      <c r="S37" s="6"/>
      <c r="T37" s="6"/>
      <c r="U37" s="59"/>
      <c r="V37" s="59"/>
      <c r="W37" s="59">
        <v>15000</v>
      </c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>
        <v>4600</v>
      </c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9">
        <v>3300</v>
      </c>
      <c r="AW37" s="59"/>
      <c r="AX37" s="59"/>
      <c r="AY37" s="59"/>
      <c r="AZ37" s="59">
        <v>2000</v>
      </c>
      <c r="BA37" s="59"/>
      <c r="BB37" s="59"/>
      <c r="BC37" s="60"/>
      <c r="BD37" s="60"/>
      <c r="BE37" s="60"/>
      <c r="BF37" s="60"/>
      <c r="BG37" s="60"/>
      <c r="BH37" s="60"/>
      <c r="BI37" s="60"/>
      <c r="BJ37" s="60"/>
      <c r="BK37" s="60"/>
      <c r="BL37" s="60"/>
      <c r="BM37" s="60"/>
      <c r="BN37" s="60"/>
      <c r="BO37" s="60"/>
    </row>
    <row r="38" spans="1:67" ht="72" customHeight="1" thickTop="1" thickBot="1" x14ac:dyDescent="0.45">
      <c r="A38" s="35">
        <v>46016</v>
      </c>
      <c r="B38" s="6" t="s">
        <v>932</v>
      </c>
      <c r="C38" s="59">
        <v>38700</v>
      </c>
      <c r="D38" s="59">
        <v>9600</v>
      </c>
      <c r="E38" s="59"/>
      <c r="F38" s="59"/>
      <c r="G38" s="59"/>
      <c r="H38" s="59"/>
      <c r="I38" s="59"/>
      <c r="J38" s="59"/>
      <c r="K38" s="59"/>
      <c r="L38" s="59"/>
      <c r="M38" s="6" t="s">
        <v>1443</v>
      </c>
      <c r="N38" s="6"/>
      <c r="O38" s="6"/>
      <c r="P38" s="6"/>
      <c r="Q38" s="6"/>
      <c r="R38" s="6"/>
      <c r="S38" s="6"/>
      <c r="T38" s="6"/>
      <c r="U38" s="59"/>
      <c r="V38" s="59"/>
      <c r="W38" s="59"/>
      <c r="X38" s="59"/>
      <c r="Y38" s="59"/>
      <c r="Z38" s="59"/>
      <c r="AA38" s="59"/>
      <c r="AB38" s="59">
        <v>12000</v>
      </c>
      <c r="AC38" s="59"/>
      <c r="AD38" s="59"/>
      <c r="AE38" s="59"/>
      <c r="AF38" s="59"/>
      <c r="AG38" s="59"/>
      <c r="AH38" s="59">
        <v>10000</v>
      </c>
      <c r="AI38" s="59"/>
      <c r="AJ38" s="59"/>
      <c r="AK38" s="59"/>
      <c r="AL38" s="59"/>
      <c r="AM38" s="59"/>
      <c r="AN38" s="59"/>
      <c r="AO38" s="59">
        <v>10000</v>
      </c>
      <c r="AP38" s="59"/>
      <c r="AQ38" s="59"/>
      <c r="AR38" s="59"/>
      <c r="AS38" s="59"/>
      <c r="AT38" s="59"/>
      <c r="AU38" s="59"/>
      <c r="AV38" s="59"/>
      <c r="AW38" s="59"/>
      <c r="AX38" s="59"/>
      <c r="AY38" s="59"/>
      <c r="AZ38" s="59">
        <v>6700</v>
      </c>
      <c r="BA38" s="59"/>
      <c r="BB38" s="59"/>
      <c r="BC38" s="60"/>
      <c r="BD38" s="60"/>
      <c r="BE38" s="60"/>
      <c r="BF38" s="60"/>
      <c r="BG38" s="60"/>
      <c r="BH38" s="60"/>
      <c r="BI38" s="60"/>
      <c r="BJ38" s="60"/>
      <c r="BK38" s="60"/>
      <c r="BL38" s="60"/>
      <c r="BM38" s="60"/>
      <c r="BN38" s="60"/>
      <c r="BO38" s="60"/>
    </row>
    <row r="39" spans="1:67" ht="72" customHeight="1" thickTop="1" thickBot="1" x14ac:dyDescent="0.45">
      <c r="A39" s="35">
        <v>46032</v>
      </c>
      <c r="B39" s="6" t="s">
        <v>1422</v>
      </c>
      <c r="C39" s="59">
        <v>113600</v>
      </c>
      <c r="D39" s="59">
        <v>22700</v>
      </c>
      <c r="E39" s="59">
        <v>5600</v>
      </c>
      <c r="F39" s="59"/>
      <c r="G39" s="59"/>
      <c r="H39" s="59"/>
      <c r="I39" s="59"/>
      <c r="J39" s="59"/>
      <c r="K39" s="59"/>
      <c r="L39" s="59">
        <v>100</v>
      </c>
      <c r="M39" s="6" t="s">
        <v>1445</v>
      </c>
      <c r="N39" s="6" t="s">
        <v>1444</v>
      </c>
      <c r="O39" s="6"/>
      <c r="P39" s="6"/>
      <c r="Q39" s="6"/>
      <c r="R39" s="6"/>
      <c r="S39" s="6"/>
      <c r="T39" s="6"/>
      <c r="U39" s="59"/>
      <c r="V39" s="59"/>
      <c r="W39" s="59">
        <v>17300</v>
      </c>
      <c r="X39" s="59"/>
      <c r="Y39" s="59"/>
      <c r="Z39" s="59"/>
      <c r="AA39" s="59">
        <v>17000</v>
      </c>
      <c r="AB39" s="59"/>
      <c r="AC39" s="59"/>
      <c r="AD39" s="59"/>
      <c r="AE39" s="59"/>
      <c r="AF39" s="59"/>
      <c r="AG39" s="59"/>
      <c r="AH39" s="59"/>
      <c r="AI39" s="59"/>
      <c r="AJ39" s="59"/>
      <c r="AK39" s="59"/>
      <c r="AL39" s="59"/>
      <c r="AM39" s="59"/>
      <c r="AN39" s="59"/>
      <c r="AO39" s="59"/>
      <c r="AP39" s="59"/>
      <c r="AQ39" s="59"/>
      <c r="AR39" s="59"/>
      <c r="AS39" s="59"/>
      <c r="AT39" s="59"/>
      <c r="AU39" s="59"/>
      <c r="AV39" s="59"/>
      <c r="AW39" s="59">
        <v>20000</v>
      </c>
      <c r="AX39" s="59"/>
      <c r="AY39" s="59"/>
      <c r="AZ39" s="59"/>
      <c r="BA39" s="59"/>
      <c r="BB39" s="59"/>
      <c r="BC39" s="60"/>
      <c r="BD39" s="60"/>
      <c r="BE39" s="60"/>
      <c r="BF39" s="60"/>
      <c r="BG39" s="60"/>
      <c r="BH39" s="60"/>
      <c r="BI39" s="60"/>
      <c r="BJ39" s="60"/>
      <c r="BK39" s="60"/>
      <c r="BL39" s="60"/>
      <c r="BM39" s="60"/>
      <c r="BN39" s="60"/>
      <c r="BO39" s="60"/>
    </row>
    <row r="40" spans="1:67" ht="72" customHeight="1" thickTop="1" thickBot="1" x14ac:dyDescent="0.45">
      <c r="A40" s="61">
        <v>46032</v>
      </c>
      <c r="B40" s="3" t="s">
        <v>1436</v>
      </c>
      <c r="C40" s="5">
        <v>24000</v>
      </c>
      <c r="D40" s="5">
        <v>6000</v>
      </c>
      <c r="E40" s="5">
        <v>0</v>
      </c>
      <c r="L40" s="5">
        <v>100</v>
      </c>
      <c r="M40" s="3" t="s">
        <v>1449</v>
      </c>
      <c r="N40" s="3" t="s">
        <v>1448</v>
      </c>
      <c r="W40" s="5">
        <v>3000</v>
      </c>
      <c r="AA40" s="5">
        <v>3000</v>
      </c>
      <c r="AB40" s="5">
        <v>3000</v>
      </c>
      <c r="AH40" s="5">
        <v>3000</v>
      </c>
      <c r="AJ40" s="5">
        <v>3000</v>
      </c>
      <c r="AO40" s="5">
        <v>3000</v>
      </c>
      <c r="AQ40" s="5"/>
      <c r="AT40" s="5"/>
      <c r="AV40" s="5">
        <v>3000</v>
      </c>
      <c r="AW40" s="5">
        <v>3000</v>
      </c>
      <c r="BC40" s="62"/>
      <c r="BD40" s="62"/>
      <c r="BE40" s="62"/>
      <c r="BF40" s="62"/>
      <c r="BG40" s="62"/>
      <c r="BH40" s="62"/>
      <c r="BI40" s="62"/>
      <c r="BJ40" s="62"/>
      <c r="BK40" s="62"/>
      <c r="BL40" s="62"/>
      <c r="BM40" s="62"/>
      <c r="BN40" s="62"/>
      <c r="BO40" s="62"/>
    </row>
    <row r="41" spans="1:67" ht="72" customHeight="1" thickTop="1" thickBot="1" x14ac:dyDescent="0.45">
      <c r="A41" s="61">
        <v>46033</v>
      </c>
      <c r="B41" s="3" t="s">
        <v>1450</v>
      </c>
      <c r="C41" s="5">
        <v>246100</v>
      </c>
      <c r="D41" s="5">
        <v>28000</v>
      </c>
      <c r="E41" s="5">
        <v>7000</v>
      </c>
      <c r="L41" s="5">
        <v>100</v>
      </c>
      <c r="M41" s="3" t="s">
        <v>1451</v>
      </c>
      <c r="N41" s="3" t="s">
        <v>1452</v>
      </c>
      <c r="W41" s="5">
        <v>30800</v>
      </c>
      <c r="AA41" s="5">
        <v>26400</v>
      </c>
      <c r="AB41" s="5">
        <v>20000</v>
      </c>
      <c r="AP41" s="5">
        <v>13600</v>
      </c>
      <c r="AQ41" s="5"/>
      <c r="AR41" s="5">
        <v>12200</v>
      </c>
      <c r="AT41" s="5"/>
      <c r="AV41" s="5">
        <v>24000</v>
      </c>
      <c r="AW41" s="5">
        <v>23100</v>
      </c>
      <c r="BC41" s="62"/>
      <c r="BD41" s="62"/>
      <c r="BE41" s="62"/>
      <c r="BF41" s="62"/>
      <c r="BG41" s="62"/>
      <c r="BH41" s="62"/>
      <c r="BI41" s="62"/>
      <c r="BJ41" s="62"/>
      <c r="BK41" s="62"/>
      <c r="BL41" s="62"/>
      <c r="BM41" s="62"/>
      <c r="BN41" s="62"/>
      <c r="BO41" s="62"/>
    </row>
    <row r="42" spans="1:67" ht="72" customHeight="1" thickTop="1" thickBot="1" x14ac:dyDescent="0.45">
      <c r="A42" s="61">
        <v>46033</v>
      </c>
      <c r="B42" s="3" t="s">
        <v>1407</v>
      </c>
      <c r="C42" s="5">
        <v>65200</v>
      </c>
      <c r="D42" s="5">
        <v>13000</v>
      </c>
      <c r="E42" s="5">
        <v>3300</v>
      </c>
      <c r="L42" s="5">
        <v>100</v>
      </c>
      <c r="M42" s="3" t="s">
        <v>1453</v>
      </c>
      <c r="N42" s="3" t="s">
        <v>1454</v>
      </c>
      <c r="W42" s="5">
        <v>8800</v>
      </c>
      <c r="AA42" s="5">
        <v>10400</v>
      </c>
      <c r="AB42" s="5">
        <v>10800</v>
      </c>
      <c r="AO42" s="5">
        <v>20000</v>
      </c>
      <c r="AQ42" s="5"/>
      <c r="AR42" s="5">
        <v>4000</v>
      </c>
      <c r="AT42" s="5"/>
      <c r="AY42" s="5">
        <v>3200</v>
      </c>
      <c r="AZ42" s="5">
        <v>4000</v>
      </c>
      <c r="BC42" s="62"/>
      <c r="BD42" s="62"/>
      <c r="BE42" s="62"/>
      <c r="BF42" s="62"/>
      <c r="BG42" s="62"/>
      <c r="BH42" s="62"/>
      <c r="BI42" s="62"/>
      <c r="BJ42" s="62"/>
      <c r="BK42" s="62"/>
      <c r="BL42" s="62"/>
      <c r="BM42" s="62"/>
      <c r="BN42" s="62"/>
      <c r="BO42" s="62"/>
    </row>
    <row r="43" spans="1:67" ht="72" customHeight="1" thickTop="1" thickBot="1" x14ac:dyDescent="0.45">
      <c r="A43" s="35">
        <v>46035</v>
      </c>
      <c r="B43" s="6" t="s">
        <v>1446</v>
      </c>
      <c r="C43" s="59">
        <v>35700</v>
      </c>
      <c r="D43" s="59">
        <v>11900</v>
      </c>
      <c r="E43" s="59"/>
      <c r="F43" s="59"/>
      <c r="G43" s="59"/>
      <c r="H43" s="59"/>
      <c r="I43" s="59"/>
      <c r="J43" s="59"/>
      <c r="K43" s="59"/>
      <c r="L43" s="59"/>
      <c r="M43" s="6" t="s">
        <v>1447</v>
      </c>
      <c r="N43" s="6"/>
      <c r="O43" s="6"/>
      <c r="P43" s="6"/>
      <c r="Q43" s="6"/>
      <c r="R43" s="6"/>
      <c r="S43" s="6"/>
      <c r="T43" s="6"/>
      <c r="U43" s="59"/>
      <c r="V43" s="59"/>
      <c r="W43" s="59"/>
      <c r="X43" s="59"/>
      <c r="Y43" s="59"/>
      <c r="Z43" s="59"/>
      <c r="AA43" s="59">
        <v>15300</v>
      </c>
      <c r="AB43" s="59"/>
      <c r="AC43" s="59"/>
      <c r="AD43" s="59"/>
      <c r="AE43" s="59"/>
      <c r="AF43" s="59"/>
      <c r="AG43" s="59"/>
      <c r="AH43" s="59">
        <v>10200</v>
      </c>
      <c r="AI43" s="59"/>
      <c r="AJ43" s="59"/>
      <c r="AK43" s="59"/>
      <c r="AL43" s="59"/>
      <c r="AM43" s="59"/>
      <c r="AN43" s="59"/>
      <c r="AO43" s="59"/>
      <c r="AP43" s="59"/>
      <c r="AQ43" s="59"/>
      <c r="AR43" s="59"/>
      <c r="AS43" s="59"/>
      <c r="AT43" s="59"/>
      <c r="AU43" s="59"/>
      <c r="AV43" s="59"/>
      <c r="AW43" s="59"/>
      <c r="AX43" s="59"/>
      <c r="AY43" s="59">
        <v>10200</v>
      </c>
      <c r="AZ43" s="59"/>
      <c r="BA43" s="59"/>
      <c r="BB43" s="59"/>
      <c r="BC43" s="60"/>
      <c r="BD43" s="60"/>
      <c r="BE43" s="60"/>
      <c r="BF43" s="60"/>
      <c r="BG43" s="60"/>
      <c r="BH43" s="60"/>
      <c r="BI43" s="60"/>
      <c r="BJ43" s="60"/>
      <c r="BK43" s="60"/>
      <c r="BL43" s="60"/>
      <c r="BM43" s="60"/>
      <c r="BN43" s="60"/>
      <c r="BO43" s="60"/>
    </row>
    <row r="44" spans="1:67" ht="72" customHeight="1" thickTop="1" thickBot="1" x14ac:dyDescent="0.45">
      <c r="A44" s="35">
        <v>46039</v>
      </c>
      <c r="B44" s="6" t="s">
        <v>1460</v>
      </c>
      <c r="C44" s="59">
        <v>123600</v>
      </c>
      <c r="D44" s="59">
        <v>16500</v>
      </c>
      <c r="E44" s="59">
        <v>4100</v>
      </c>
      <c r="F44" s="59"/>
      <c r="G44" s="59"/>
      <c r="H44" s="59"/>
      <c r="I44" s="59"/>
      <c r="J44" s="59"/>
      <c r="K44" s="59"/>
      <c r="L44" s="59">
        <v>100</v>
      </c>
      <c r="M44" s="6" t="s">
        <v>1461</v>
      </c>
      <c r="N44" s="6" t="s">
        <v>1462</v>
      </c>
      <c r="O44" s="6"/>
      <c r="P44" s="6"/>
      <c r="Q44" s="6"/>
      <c r="R44" s="6"/>
      <c r="S44" s="6"/>
      <c r="T44" s="6"/>
      <c r="U44" s="59"/>
      <c r="V44" s="59">
        <v>20400</v>
      </c>
      <c r="W44" s="59">
        <v>7200</v>
      </c>
      <c r="X44" s="59"/>
      <c r="Y44" s="59"/>
      <c r="Z44" s="59"/>
      <c r="AA44" s="59">
        <v>12600</v>
      </c>
      <c r="AB44" s="59">
        <v>8400</v>
      </c>
      <c r="AC44" s="59"/>
      <c r="AD44" s="59"/>
      <c r="AE44" s="59"/>
      <c r="AF44" s="59"/>
      <c r="AG44" s="59"/>
      <c r="AH44" s="59">
        <v>10800</v>
      </c>
      <c r="AI44" s="59"/>
      <c r="AJ44" s="59"/>
      <c r="AK44" s="59"/>
      <c r="AL44" s="59"/>
      <c r="AM44" s="59"/>
      <c r="AN44" s="59"/>
      <c r="AO44" s="59"/>
      <c r="AP44" s="59"/>
      <c r="AQ44" s="59"/>
      <c r="AR44" s="59">
        <v>6000</v>
      </c>
      <c r="AS44" s="59">
        <v>7200</v>
      </c>
      <c r="AT44" s="59"/>
      <c r="AU44" s="59"/>
      <c r="AV44" s="59">
        <v>15600</v>
      </c>
      <c r="AW44" s="59"/>
      <c r="AX44" s="59">
        <v>8400</v>
      </c>
      <c r="AY44" s="59"/>
      <c r="AZ44" s="59">
        <v>6000</v>
      </c>
      <c r="BA44" s="59"/>
      <c r="BB44" s="59"/>
      <c r="BC44" s="60">
        <v>15000</v>
      </c>
      <c r="BD44" s="60">
        <v>6000</v>
      </c>
      <c r="BE44" s="60"/>
      <c r="BF44" s="60"/>
      <c r="BG44" s="60"/>
      <c r="BH44" s="60"/>
      <c r="BI44" s="60"/>
      <c r="BJ44" s="60"/>
      <c r="BK44" s="60"/>
      <c r="BL44" s="60"/>
      <c r="BM44" s="60"/>
      <c r="BN44" s="60"/>
      <c r="BO44" s="60"/>
    </row>
    <row r="45" spans="1:67" ht="72" customHeight="1" thickTop="1" thickBot="1" x14ac:dyDescent="0.45">
      <c r="A45" s="61">
        <v>46045</v>
      </c>
      <c r="B45" s="3" t="s">
        <v>1551</v>
      </c>
      <c r="C45" s="5">
        <v>533000</v>
      </c>
      <c r="D45" s="5">
        <v>35500</v>
      </c>
      <c r="E45" s="5">
        <v>23700</v>
      </c>
      <c r="M45" s="3" t="s">
        <v>1552</v>
      </c>
      <c r="N45" s="3" t="s">
        <v>1553</v>
      </c>
      <c r="V45" s="5">
        <v>111200</v>
      </c>
      <c r="W45" s="5">
        <v>30000</v>
      </c>
      <c r="AA45" s="5">
        <v>36500</v>
      </c>
      <c r="AB45" s="5">
        <v>35000</v>
      </c>
      <c r="AJ45" s="5">
        <v>3200</v>
      </c>
      <c r="AK45" s="5">
        <v>103200</v>
      </c>
      <c r="AO45" s="5">
        <v>36100</v>
      </c>
      <c r="AQ45" s="5"/>
      <c r="AR45" s="5">
        <v>5200</v>
      </c>
      <c r="AS45" s="5">
        <v>4200</v>
      </c>
      <c r="AT45" s="5"/>
      <c r="AU45" s="5">
        <v>10000</v>
      </c>
      <c r="AV45" s="5">
        <v>40700</v>
      </c>
      <c r="AW45" s="5">
        <v>30600</v>
      </c>
      <c r="AX45" s="5">
        <v>32400</v>
      </c>
      <c r="AY45" s="5">
        <v>5200</v>
      </c>
      <c r="AZ45" s="5">
        <v>11100</v>
      </c>
      <c r="BC45" s="60">
        <v>30700</v>
      </c>
      <c r="BD45" s="60">
        <v>3200</v>
      </c>
      <c r="BE45" s="60">
        <v>3400</v>
      </c>
      <c r="BF45" s="60"/>
      <c r="BG45" s="60"/>
      <c r="BH45" s="60"/>
      <c r="BI45" s="60"/>
      <c r="BJ45" s="60"/>
      <c r="BK45" s="60"/>
      <c r="BL45" s="60"/>
      <c r="BM45" s="60"/>
      <c r="BN45" s="60"/>
      <c r="BO45" s="62"/>
    </row>
    <row r="46" spans="1:67" ht="72" customHeight="1" thickTop="1" thickBot="1" x14ac:dyDescent="0.45">
      <c r="A46" s="61">
        <v>46050</v>
      </c>
      <c r="B46" s="3" t="s">
        <v>1236</v>
      </c>
      <c r="C46" s="5">
        <v>61000</v>
      </c>
      <c r="D46" s="5">
        <v>12200</v>
      </c>
      <c r="E46" s="5">
        <v>0</v>
      </c>
      <c r="M46" s="3" t="s">
        <v>1510</v>
      </c>
      <c r="N46" s="3" t="s">
        <v>1511</v>
      </c>
      <c r="V46" s="5">
        <v>7300</v>
      </c>
      <c r="W46" s="5">
        <v>6100</v>
      </c>
      <c r="AA46" s="5">
        <v>6000</v>
      </c>
      <c r="AB46" s="5">
        <v>5300</v>
      </c>
      <c r="AQ46" s="5"/>
      <c r="AT46" s="5"/>
      <c r="BC46" s="60">
        <v>5100</v>
      </c>
      <c r="BD46" s="60"/>
      <c r="BE46" s="60"/>
      <c r="BF46" s="60"/>
      <c r="BG46" s="60"/>
      <c r="BH46" s="60"/>
      <c r="BI46" s="60"/>
      <c r="BJ46" s="60"/>
      <c r="BK46" s="60"/>
      <c r="BL46" s="60"/>
      <c r="BM46" s="60"/>
      <c r="BN46" s="60"/>
      <c r="BO46" s="62"/>
    </row>
    <row r="47" spans="1:67" ht="72" customHeight="1" thickTop="1" thickBot="1" x14ac:dyDescent="0.45">
      <c r="A47" s="61">
        <v>46050</v>
      </c>
      <c r="B47" s="3" t="s">
        <v>1460</v>
      </c>
      <c r="C47" s="5">
        <v>92800</v>
      </c>
      <c r="D47" s="5">
        <v>16200</v>
      </c>
      <c r="E47" s="5">
        <v>7000</v>
      </c>
      <c r="M47" s="3" t="s">
        <v>1509</v>
      </c>
      <c r="N47" s="3" t="s">
        <v>1508</v>
      </c>
      <c r="V47" s="5">
        <v>21200</v>
      </c>
      <c r="W47" s="5">
        <v>7200</v>
      </c>
      <c r="AA47" s="5">
        <v>11600</v>
      </c>
      <c r="AB47" s="5">
        <v>16800</v>
      </c>
      <c r="AQ47" s="5"/>
      <c r="AR47" s="5">
        <v>4000</v>
      </c>
      <c r="AT47" s="5"/>
      <c r="AY47" s="5">
        <v>4000</v>
      </c>
      <c r="BC47" s="60">
        <v>24000</v>
      </c>
      <c r="BD47" s="60">
        <v>4000</v>
      </c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2"/>
    </row>
    <row r="48" spans="1:67" ht="72" customHeight="1" thickTop="1" thickBot="1" x14ac:dyDescent="0.45">
      <c r="A48" s="35">
        <v>46054</v>
      </c>
      <c r="B48" s="6" t="s">
        <v>1436</v>
      </c>
      <c r="C48" s="59">
        <v>519500</v>
      </c>
      <c r="D48" s="59">
        <v>40400</v>
      </c>
      <c r="E48" s="59">
        <v>17300</v>
      </c>
      <c r="F48" s="59"/>
      <c r="G48" s="59"/>
      <c r="H48" s="59"/>
      <c r="I48" s="59"/>
      <c r="J48" s="59"/>
      <c r="K48" s="59"/>
      <c r="L48" s="59">
        <v>100</v>
      </c>
      <c r="M48" s="6" t="s">
        <v>1497</v>
      </c>
      <c r="N48" s="6" t="s">
        <v>1498</v>
      </c>
      <c r="O48" s="6"/>
      <c r="P48" s="6"/>
      <c r="Q48" s="6"/>
      <c r="R48" s="6"/>
      <c r="S48" s="6"/>
      <c r="T48" s="6"/>
      <c r="U48" s="59"/>
      <c r="V48" s="59">
        <v>80000</v>
      </c>
      <c r="W48" s="59">
        <v>63200</v>
      </c>
      <c r="X48" s="59"/>
      <c r="Y48" s="59"/>
      <c r="Z48" s="59"/>
      <c r="AA48" s="59">
        <v>40800</v>
      </c>
      <c r="AB48" s="59">
        <v>52100</v>
      </c>
      <c r="AC48" s="59"/>
      <c r="AD48" s="59"/>
      <c r="AE48" s="59"/>
      <c r="AF48" s="59"/>
      <c r="AG48" s="59"/>
      <c r="AH48" s="59">
        <v>32800</v>
      </c>
      <c r="AI48" s="59"/>
      <c r="AJ48" s="59">
        <v>6300</v>
      </c>
      <c r="AK48" s="59">
        <v>15000</v>
      </c>
      <c r="AL48" s="59"/>
      <c r="AM48" s="59"/>
      <c r="AN48" s="59"/>
      <c r="AO48" s="59">
        <v>36400</v>
      </c>
      <c r="AP48" s="59"/>
      <c r="AQ48" s="59"/>
      <c r="AR48" s="59">
        <v>7100</v>
      </c>
      <c r="AS48" s="59">
        <v>7300</v>
      </c>
      <c r="AT48" s="59"/>
      <c r="AU48" s="59">
        <v>14100</v>
      </c>
      <c r="AV48" s="59">
        <v>60200</v>
      </c>
      <c r="AW48" s="59"/>
      <c r="AX48" s="59">
        <v>31000</v>
      </c>
      <c r="AY48" s="59">
        <v>5500</v>
      </c>
      <c r="AZ48" s="59">
        <v>10100</v>
      </c>
      <c r="BA48" s="59"/>
      <c r="BB48" s="59"/>
      <c r="BC48" s="60">
        <v>40000</v>
      </c>
      <c r="BD48" s="60">
        <v>10000</v>
      </c>
      <c r="BE48" s="60">
        <v>7000</v>
      </c>
      <c r="BF48" s="60"/>
      <c r="BG48" s="60"/>
      <c r="BH48" s="60"/>
      <c r="BI48" s="60"/>
      <c r="BJ48" s="60"/>
      <c r="BK48" s="60"/>
      <c r="BL48" s="60"/>
      <c r="BM48" s="60"/>
      <c r="BN48" s="60"/>
      <c r="BO48" s="60"/>
    </row>
    <row r="49" spans="1:67" ht="72" customHeight="1" thickTop="1" thickBot="1" x14ac:dyDescent="0.45">
      <c r="A49" s="61">
        <v>46054</v>
      </c>
      <c r="B49" s="3" t="s">
        <v>893</v>
      </c>
      <c r="C49" s="5">
        <v>24000</v>
      </c>
      <c r="D49" s="5">
        <v>6000</v>
      </c>
      <c r="E49" s="5">
        <v>0</v>
      </c>
      <c r="M49" s="3" t="s">
        <v>1531</v>
      </c>
      <c r="N49" s="3" t="s">
        <v>1532</v>
      </c>
      <c r="V49" s="5">
        <v>3000</v>
      </c>
      <c r="AA49" s="5">
        <v>3000</v>
      </c>
      <c r="AB49" s="5">
        <v>3000</v>
      </c>
      <c r="AJ49" s="5">
        <v>3000</v>
      </c>
      <c r="AQ49" s="5"/>
      <c r="AR49" s="5">
        <v>3000</v>
      </c>
      <c r="AS49" s="5">
        <v>3000</v>
      </c>
      <c r="AT49" s="5"/>
      <c r="AV49" s="5">
        <v>3000</v>
      </c>
      <c r="BC49" s="60"/>
      <c r="BD49" s="60">
        <v>3000</v>
      </c>
      <c r="BE49" s="60"/>
      <c r="BF49" s="60"/>
      <c r="BG49" s="60"/>
      <c r="BH49" s="60"/>
      <c r="BI49" s="60"/>
      <c r="BJ49" s="60"/>
      <c r="BK49" s="60"/>
      <c r="BL49" s="60"/>
      <c r="BM49" s="60"/>
      <c r="BN49" s="60"/>
      <c r="BO49" s="62"/>
    </row>
    <row r="50" spans="1:67" ht="72" customHeight="1" thickTop="1" thickBot="1" x14ac:dyDescent="0.45">
      <c r="A50" s="35">
        <v>46055</v>
      </c>
      <c r="B50" s="6" t="s">
        <v>1236</v>
      </c>
      <c r="C50" s="59">
        <v>50000</v>
      </c>
      <c r="D50" s="59">
        <v>10000</v>
      </c>
      <c r="E50" s="59">
        <v>0</v>
      </c>
      <c r="F50" s="59"/>
      <c r="G50" s="59"/>
      <c r="H50" s="59"/>
      <c r="I50" s="59"/>
      <c r="J50" s="59"/>
      <c r="K50" s="59"/>
      <c r="L50" s="59"/>
      <c r="M50" s="6" t="s">
        <v>1527</v>
      </c>
      <c r="N50" s="6" t="s">
        <v>1528</v>
      </c>
      <c r="O50" s="6"/>
      <c r="P50" s="6"/>
      <c r="Q50" s="6"/>
      <c r="R50" s="6"/>
      <c r="S50" s="6"/>
      <c r="T50" s="6"/>
      <c r="U50" s="59"/>
      <c r="V50" s="59">
        <v>5000</v>
      </c>
      <c r="W50" s="59">
        <v>5000</v>
      </c>
      <c r="X50" s="59"/>
      <c r="Y50" s="59"/>
      <c r="Z50" s="59"/>
      <c r="AA50" s="59">
        <v>5000</v>
      </c>
      <c r="AB50" s="59">
        <v>5000</v>
      </c>
      <c r="AC50" s="59"/>
      <c r="AD50" s="59"/>
      <c r="AE50" s="59"/>
      <c r="AF50" s="59"/>
      <c r="AG50" s="59"/>
      <c r="AH50" s="59"/>
      <c r="AI50" s="59"/>
      <c r="AJ50" s="59"/>
      <c r="AK50" s="59"/>
      <c r="AL50" s="59"/>
      <c r="AM50" s="59"/>
      <c r="AN50" s="59"/>
      <c r="AO50" s="59"/>
      <c r="AP50" s="59"/>
      <c r="AQ50" s="59"/>
      <c r="AR50" s="59"/>
      <c r="AS50" s="59"/>
      <c r="AT50" s="59"/>
      <c r="AU50" s="59"/>
      <c r="AV50" s="59"/>
      <c r="AW50" s="59"/>
      <c r="AX50" s="59"/>
      <c r="AY50" s="59"/>
      <c r="AZ50" s="59"/>
      <c r="BA50" s="59"/>
      <c r="BB50" s="59"/>
      <c r="BC50" s="60">
        <v>5000</v>
      </c>
      <c r="BD50" s="60"/>
      <c r="BE50" s="60"/>
      <c r="BF50" s="60"/>
      <c r="BG50" s="60"/>
      <c r="BH50" s="60"/>
      <c r="BI50" s="60"/>
      <c r="BJ50" s="60"/>
      <c r="BK50" s="60"/>
      <c r="BL50" s="60"/>
      <c r="BM50" s="60"/>
      <c r="BN50" s="60"/>
      <c r="BO50" s="60"/>
    </row>
    <row r="51" spans="1:67" ht="72" customHeight="1" thickTop="1" thickBot="1" x14ac:dyDescent="0.45">
      <c r="A51" s="35">
        <v>46055</v>
      </c>
      <c r="B51" s="6" t="s">
        <v>1529</v>
      </c>
      <c r="C51" s="59">
        <v>10000</v>
      </c>
      <c r="D51" s="59">
        <v>4000</v>
      </c>
      <c r="E51" s="59">
        <v>3000</v>
      </c>
      <c r="F51" s="59">
        <v>2000</v>
      </c>
      <c r="G51" s="59">
        <v>1000</v>
      </c>
      <c r="H51" s="59"/>
      <c r="I51" s="59"/>
      <c r="J51" s="59"/>
      <c r="K51" s="59"/>
      <c r="L51" s="59" t="s">
        <v>1530</v>
      </c>
      <c r="M51" s="6" t="s">
        <v>195</v>
      </c>
      <c r="N51" s="6" t="s">
        <v>170</v>
      </c>
      <c r="O51" s="6" t="s">
        <v>160</v>
      </c>
      <c r="P51" s="6" t="s">
        <v>69</v>
      </c>
      <c r="Q51" s="6" t="s">
        <v>1038</v>
      </c>
      <c r="R51" s="6"/>
      <c r="S51" s="6"/>
      <c r="T51" s="6"/>
      <c r="U51" s="59"/>
      <c r="V51" s="59">
        <v>2000</v>
      </c>
      <c r="W51" s="59"/>
      <c r="X51" s="59"/>
      <c r="Y51" s="59"/>
      <c r="Z51" s="59"/>
      <c r="AA51" s="59">
        <v>2000</v>
      </c>
      <c r="AB51" s="59">
        <v>2000</v>
      </c>
      <c r="AC51" s="59"/>
      <c r="AD51" s="59"/>
      <c r="AE51" s="59"/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9"/>
      <c r="AT51" s="59"/>
      <c r="AU51" s="59"/>
      <c r="AV51" s="59"/>
      <c r="AW51" s="59">
        <v>2000</v>
      </c>
      <c r="AX51" s="59"/>
      <c r="AY51" s="59"/>
      <c r="AZ51" s="59"/>
      <c r="BA51" s="59"/>
      <c r="BB51" s="59"/>
      <c r="BC51" s="60">
        <v>2000</v>
      </c>
      <c r="BD51" s="60"/>
      <c r="BE51" s="60"/>
      <c r="BF51" s="60"/>
      <c r="BG51" s="60"/>
      <c r="BH51" s="60"/>
      <c r="BI51" s="60"/>
      <c r="BJ51" s="60"/>
      <c r="BK51" s="60"/>
      <c r="BL51" s="60"/>
      <c r="BM51" s="60"/>
      <c r="BN51" s="60"/>
      <c r="BO51" s="60"/>
    </row>
    <row r="52" spans="1:67" ht="72" customHeight="1" thickTop="1" thickBot="1" x14ac:dyDescent="0.45">
      <c r="A52" s="35">
        <v>46057</v>
      </c>
      <c r="B52" s="6" t="s">
        <v>1543</v>
      </c>
      <c r="C52" s="59">
        <v>21000</v>
      </c>
      <c r="D52" s="59">
        <v>12000</v>
      </c>
      <c r="E52" s="59">
        <v>9000</v>
      </c>
      <c r="F52" s="59">
        <v>0</v>
      </c>
      <c r="G52" s="59">
        <v>0</v>
      </c>
      <c r="H52" s="59">
        <v>0</v>
      </c>
      <c r="I52" s="59">
        <v>0</v>
      </c>
      <c r="J52" s="59">
        <v>0</v>
      </c>
      <c r="K52" s="59"/>
      <c r="L52" s="59"/>
      <c r="M52" s="6" t="s">
        <v>1038</v>
      </c>
      <c r="N52" s="6" t="s">
        <v>965</v>
      </c>
      <c r="O52" s="6" t="s">
        <v>196</v>
      </c>
      <c r="P52" s="6" t="s">
        <v>179</v>
      </c>
      <c r="Q52" s="6" t="s">
        <v>191</v>
      </c>
      <c r="R52" s="6" t="s">
        <v>194</v>
      </c>
      <c r="S52" s="6" t="s">
        <v>195</v>
      </c>
      <c r="T52" s="6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  <c r="AF52" s="59"/>
      <c r="AG52" s="59"/>
      <c r="AH52" s="59">
        <v>3000</v>
      </c>
      <c r="AI52" s="59"/>
      <c r="AJ52" s="59"/>
      <c r="AK52" s="59"/>
      <c r="AL52" s="59"/>
      <c r="AM52" s="59"/>
      <c r="AN52" s="59"/>
      <c r="AO52" s="59">
        <v>3000</v>
      </c>
      <c r="AP52" s="59"/>
      <c r="AQ52" s="59"/>
      <c r="AR52" s="59"/>
      <c r="AS52" s="59"/>
      <c r="AT52" s="59"/>
      <c r="AU52" s="59"/>
      <c r="AV52" s="59">
        <v>3000</v>
      </c>
      <c r="AW52" s="59">
        <v>3000</v>
      </c>
      <c r="AX52" s="59">
        <v>3000</v>
      </c>
      <c r="AY52" s="59"/>
      <c r="AZ52" s="59">
        <v>3000</v>
      </c>
      <c r="BA52" s="59"/>
      <c r="BB52" s="59"/>
      <c r="BC52" s="60">
        <v>3000</v>
      </c>
      <c r="BD52" s="60"/>
      <c r="BE52" s="60"/>
      <c r="BF52" s="60"/>
      <c r="BG52" s="60"/>
      <c r="BH52" s="60"/>
      <c r="BI52" s="60"/>
      <c r="BJ52" s="60"/>
      <c r="BK52" s="60"/>
      <c r="BL52" s="60"/>
      <c r="BM52" s="60"/>
      <c r="BN52" s="60"/>
      <c r="BO52" s="60"/>
    </row>
    <row r="53" spans="1:67" ht="72" customHeight="1" thickTop="1" thickBot="1" x14ac:dyDescent="0.45">
      <c r="A53" s="35">
        <v>46064</v>
      </c>
      <c r="B53" s="6" t="s">
        <v>1460</v>
      </c>
      <c r="C53" s="59">
        <v>40000</v>
      </c>
      <c r="D53" s="59">
        <v>5000</v>
      </c>
      <c r="E53" s="59">
        <v>0</v>
      </c>
      <c r="F53" s="59"/>
      <c r="G53" s="59"/>
      <c r="H53" s="59"/>
      <c r="I53" s="59"/>
      <c r="J53" s="59"/>
      <c r="K53" s="59"/>
      <c r="L53" s="59"/>
      <c r="M53" s="6" t="s">
        <v>1585</v>
      </c>
      <c r="N53" s="6" t="s">
        <v>1586</v>
      </c>
      <c r="O53" s="6"/>
      <c r="P53" s="6"/>
      <c r="Q53" s="6"/>
      <c r="R53" s="6"/>
      <c r="S53" s="6"/>
      <c r="T53" s="6"/>
      <c r="U53" s="59"/>
      <c r="V53" s="59"/>
      <c r="W53" s="59">
        <v>13000</v>
      </c>
      <c r="X53" s="59"/>
      <c r="Y53" s="59"/>
      <c r="Z53" s="59"/>
      <c r="AA53" s="59"/>
      <c r="AB53" s="59"/>
      <c r="AC53" s="59"/>
      <c r="AD53" s="59"/>
      <c r="AE53" s="59"/>
      <c r="AF53" s="59"/>
      <c r="AG53" s="59"/>
      <c r="AH53" s="59"/>
      <c r="AI53" s="59"/>
      <c r="AJ53" s="59">
        <v>3000</v>
      </c>
      <c r="AK53" s="59"/>
      <c r="AL53" s="59"/>
      <c r="AM53" s="59"/>
      <c r="AN53" s="59"/>
      <c r="AO53" s="59">
        <v>3000</v>
      </c>
      <c r="AP53" s="59"/>
      <c r="AQ53" s="59"/>
      <c r="AR53" s="59">
        <v>3000</v>
      </c>
      <c r="AS53" s="59">
        <v>3000</v>
      </c>
      <c r="AT53" s="59"/>
      <c r="AU53" s="59"/>
      <c r="AV53" s="59">
        <v>3000</v>
      </c>
      <c r="AW53" s="59"/>
      <c r="AX53" s="59">
        <v>3000</v>
      </c>
      <c r="AY53" s="59">
        <v>3000</v>
      </c>
      <c r="AZ53" s="59">
        <v>3000</v>
      </c>
      <c r="BA53" s="59"/>
      <c r="BB53" s="59"/>
      <c r="BC53" s="60"/>
      <c r="BD53" s="60">
        <v>3000</v>
      </c>
      <c r="BE53" s="60"/>
      <c r="BF53" s="60"/>
      <c r="BG53" s="60"/>
      <c r="BH53" s="60"/>
      <c r="BI53" s="60"/>
      <c r="BJ53" s="60"/>
      <c r="BK53" s="60"/>
      <c r="BL53" s="60"/>
      <c r="BM53" s="60"/>
      <c r="BN53" s="60"/>
      <c r="BO53" s="60"/>
    </row>
    <row r="54" spans="1:67" ht="72" customHeight="1" thickTop="1" thickBot="1" x14ac:dyDescent="0.45">
      <c r="A54" s="61">
        <v>46065</v>
      </c>
      <c r="B54" s="3" t="s">
        <v>1587</v>
      </c>
      <c r="C54" s="5">
        <v>178900</v>
      </c>
      <c r="D54" s="5">
        <v>14300</v>
      </c>
      <c r="E54" s="5">
        <v>10700</v>
      </c>
      <c r="F54" s="5">
        <v>10700</v>
      </c>
      <c r="M54" s="3" t="s">
        <v>1588</v>
      </c>
      <c r="N54" s="3" t="s">
        <v>1589</v>
      </c>
      <c r="O54" s="3" t="s">
        <v>1590</v>
      </c>
      <c r="V54" s="5">
        <v>21600</v>
      </c>
      <c r="AA54" s="5">
        <v>24000</v>
      </c>
      <c r="AH54" s="5">
        <v>13200</v>
      </c>
      <c r="AJ54" s="5">
        <v>2200</v>
      </c>
      <c r="AK54" s="5">
        <v>3200</v>
      </c>
      <c r="AO54" s="5">
        <v>20000</v>
      </c>
      <c r="AQ54" s="5"/>
      <c r="AR54" s="5">
        <v>2700</v>
      </c>
      <c r="AS54" s="5">
        <v>12000</v>
      </c>
      <c r="AT54" s="5"/>
      <c r="AV54" s="5">
        <v>24400</v>
      </c>
      <c r="AW54" s="5">
        <v>12000</v>
      </c>
      <c r="AX54" s="5">
        <v>20100</v>
      </c>
      <c r="AY54" s="5">
        <v>2100</v>
      </c>
      <c r="BC54" s="60">
        <v>17200</v>
      </c>
      <c r="BD54" s="60">
        <v>2100</v>
      </c>
      <c r="BE54" s="60">
        <v>2100</v>
      </c>
      <c r="BF54" s="60"/>
      <c r="BG54" s="60"/>
      <c r="BH54" s="60"/>
      <c r="BI54" s="60"/>
      <c r="BJ54" s="60"/>
      <c r="BK54" s="60"/>
      <c r="BL54" s="60"/>
      <c r="BM54" s="60"/>
      <c r="BN54" s="60"/>
      <c r="BO54" s="62"/>
    </row>
    <row r="55" spans="1:67" ht="72" customHeight="1" thickTop="1" thickBot="1" x14ac:dyDescent="0.45">
      <c r="A55" s="35">
        <v>46067</v>
      </c>
      <c r="B55" s="6" t="s">
        <v>1407</v>
      </c>
      <c r="C55" s="59">
        <v>65000</v>
      </c>
      <c r="D55" s="59">
        <v>19000</v>
      </c>
      <c r="E55" s="59">
        <v>16000</v>
      </c>
      <c r="F55" s="59">
        <v>13000</v>
      </c>
      <c r="G55" s="59">
        <v>7000</v>
      </c>
      <c r="H55" s="59">
        <v>6000</v>
      </c>
      <c r="I55" s="59">
        <v>4000</v>
      </c>
      <c r="J55" s="59"/>
      <c r="K55" s="59"/>
      <c r="L55" s="59" t="s">
        <v>1530</v>
      </c>
      <c r="M55" s="6" t="s">
        <v>170</v>
      </c>
      <c r="N55" s="6" t="s">
        <v>1013</v>
      </c>
      <c r="O55" s="6" t="s">
        <v>1038</v>
      </c>
      <c r="P55" s="6" t="s">
        <v>191</v>
      </c>
      <c r="Q55" s="6" t="s">
        <v>160</v>
      </c>
      <c r="R55" s="6" t="s">
        <v>965</v>
      </c>
      <c r="S55" s="6"/>
      <c r="T55" s="6"/>
      <c r="U55" s="59"/>
      <c r="V55" s="59">
        <v>13000</v>
      </c>
      <c r="W55" s="59"/>
      <c r="X55" s="59"/>
      <c r="Y55" s="59"/>
      <c r="Z55" s="59"/>
      <c r="AA55" s="59"/>
      <c r="AB55" s="59">
        <v>11000</v>
      </c>
      <c r="AC55" s="59"/>
      <c r="AD55" s="59"/>
      <c r="AE55" s="59"/>
      <c r="AF55" s="59"/>
      <c r="AG55" s="59"/>
      <c r="AH55" s="59"/>
      <c r="AI55" s="59"/>
      <c r="AJ55" s="59"/>
      <c r="AK55" s="59"/>
      <c r="AL55" s="59"/>
      <c r="AM55" s="59"/>
      <c r="AN55" s="59"/>
      <c r="AO55" s="59">
        <v>15000</v>
      </c>
      <c r="AP55" s="59"/>
      <c r="AQ55" s="59"/>
      <c r="AR55" s="59"/>
      <c r="AS55" s="59"/>
      <c r="AT55" s="59"/>
      <c r="AU55" s="59"/>
      <c r="AV55" s="59"/>
      <c r="AW55" s="59"/>
      <c r="AX55" s="59"/>
      <c r="AY55" s="59"/>
      <c r="AZ55" s="59">
        <v>14000</v>
      </c>
      <c r="BA55" s="59"/>
      <c r="BB55" s="59"/>
      <c r="BC55" s="60">
        <v>8000</v>
      </c>
      <c r="BD55" s="60"/>
      <c r="BE55" s="60"/>
      <c r="BF55" s="60"/>
      <c r="BG55" s="60"/>
      <c r="BH55" s="60"/>
      <c r="BI55" s="60"/>
      <c r="BJ55" s="60"/>
      <c r="BK55" s="60"/>
      <c r="BL55" s="60"/>
      <c r="BM55" s="60"/>
      <c r="BN55" s="60"/>
      <c r="BO55" s="60"/>
    </row>
    <row r="56" spans="1:67" ht="72" customHeight="1" thickTop="1" thickBot="1" x14ac:dyDescent="0.45">
      <c r="A56" s="35">
        <v>46076</v>
      </c>
      <c r="B56" s="6" t="s">
        <v>905</v>
      </c>
      <c r="C56" s="59">
        <v>141600</v>
      </c>
      <c r="D56" s="59">
        <v>18900</v>
      </c>
      <c r="E56" s="59">
        <v>4700</v>
      </c>
      <c r="F56" s="59"/>
      <c r="G56" s="59"/>
      <c r="H56" s="59"/>
      <c r="I56" s="59"/>
      <c r="J56" s="59"/>
      <c r="K56" s="59"/>
      <c r="L56" s="59">
        <v>100</v>
      </c>
      <c r="M56" s="6" t="s">
        <v>1650</v>
      </c>
      <c r="N56" s="6" t="s">
        <v>1651</v>
      </c>
      <c r="O56" s="6"/>
      <c r="P56" s="6"/>
      <c r="Q56" s="6"/>
      <c r="R56" s="6"/>
      <c r="S56" s="6"/>
      <c r="T56" s="6"/>
      <c r="U56" s="59"/>
      <c r="V56" s="59">
        <v>22800</v>
      </c>
      <c r="W56" s="59"/>
      <c r="X56" s="59"/>
      <c r="Y56" s="59"/>
      <c r="Z56" s="59"/>
      <c r="AA56" s="59"/>
      <c r="AB56" s="59">
        <v>15000</v>
      </c>
      <c r="AC56" s="59"/>
      <c r="AD56" s="59"/>
      <c r="AE56" s="59"/>
      <c r="AF56" s="59"/>
      <c r="AG56" s="59"/>
      <c r="AH56" s="59">
        <v>14400</v>
      </c>
      <c r="AI56" s="59"/>
      <c r="AJ56" s="59"/>
      <c r="AK56" s="59">
        <v>3000</v>
      </c>
      <c r="AL56" s="59"/>
      <c r="AM56" s="59"/>
      <c r="AN56" s="59"/>
      <c r="AO56" s="59">
        <v>25200</v>
      </c>
      <c r="AP56" s="59"/>
      <c r="AQ56" s="59"/>
      <c r="AR56" s="59"/>
      <c r="AS56" s="59">
        <v>6000</v>
      </c>
      <c r="AT56" s="59"/>
      <c r="AU56" s="59"/>
      <c r="AV56" s="59"/>
      <c r="AW56" s="59">
        <v>12000</v>
      </c>
      <c r="AX56" s="59">
        <v>15000</v>
      </c>
      <c r="AY56" s="59">
        <v>4200</v>
      </c>
      <c r="AZ56" s="59">
        <v>7200</v>
      </c>
      <c r="BA56" s="59"/>
      <c r="BB56" s="59"/>
      <c r="BC56" s="60">
        <v>13800</v>
      </c>
      <c r="BD56" s="60">
        <v>3000</v>
      </c>
      <c r="BE56" s="60"/>
      <c r="BF56" s="60"/>
      <c r="BG56" s="60"/>
      <c r="BH56" s="60"/>
      <c r="BI56" s="60"/>
      <c r="BJ56" s="60"/>
      <c r="BK56" s="60"/>
      <c r="BL56" s="60"/>
      <c r="BM56" s="60"/>
      <c r="BN56" s="60"/>
      <c r="BO56" s="60"/>
    </row>
    <row r="57" spans="1:67" ht="72" customHeight="1" thickTop="1" thickBot="1" x14ac:dyDescent="0.45">
      <c r="A57" s="35">
        <v>46090</v>
      </c>
      <c r="B57" s="6" t="s">
        <v>1436</v>
      </c>
      <c r="C57" s="59">
        <v>801000</v>
      </c>
      <c r="D57" s="59">
        <v>53400</v>
      </c>
      <c r="E57" s="59">
        <v>35600</v>
      </c>
      <c r="F57" s="59"/>
      <c r="G57" s="59"/>
      <c r="H57" s="59"/>
      <c r="I57" s="59"/>
      <c r="J57" s="59"/>
      <c r="K57" s="59"/>
      <c r="L57" s="59">
        <v>100</v>
      </c>
      <c r="M57" s="6" t="s">
        <v>1669</v>
      </c>
      <c r="N57" s="6" t="s">
        <v>1668</v>
      </c>
      <c r="O57" s="6"/>
      <c r="P57" s="6"/>
      <c r="Q57" s="6"/>
      <c r="R57" s="6"/>
      <c r="S57" s="6"/>
      <c r="T57" s="6"/>
      <c r="U57" s="59"/>
      <c r="V57" s="59">
        <v>107433</v>
      </c>
      <c r="W57" s="59">
        <v>64900</v>
      </c>
      <c r="X57" s="59"/>
      <c r="Y57" s="59"/>
      <c r="Z57" s="59"/>
      <c r="AA57" s="59">
        <v>84450</v>
      </c>
      <c r="AB57" s="59">
        <v>85500</v>
      </c>
      <c r="AC57" s="59"/>
      <c r="AD57" s="59"/>
      <c r="AE57" s="59"/>
      <c r="AF57" s="59"/>
      <c r="AG57" s="59"/>
      <c r="AH57" s="59">
        <v>55100</v>
      </c>
      <c r="AI57" s="59"/>
      <c r="AJ57" s="59">
        <v>5000</v>
      </c>
      <c r="AK57" s="59">
        <v>6000</v>
      </c>
      <c r="AL57" s="59"/>
      <c r="AM57" s="59"/>
      <c r="AN57" s="59"/>
      <c r="AO57" s="59">
        <v>90650</v>
      </c>
      <c r="AP57" s="59"/>
      <c r="AQ57" s="59"/>
      <c r="AR57" s="59">
        <v>15000</v>
      </c>
      <c r="AS57" s="59">
        <v>7701</v>
      </c>
      <c r="AT57" s="59"/>
      <c r="AU57" s="59"/>
      <c r="AV57" s="59">
        <v>86000</v>
      </c>
      <c r="AW57" s="59">
        <v>33093</v>
      </c>
      <c r="AX57" s="59">
        <v>46229</v>
      </c>
      <c r="AY57" s="59">
        <v>5800</v>
      </c>
      <c r="AZ57" s="59">
        <v>12088</v>
      </c>
      <c r="BA57" s="59"/>
      <c r="BB57" s="59"/>
      <c r="BC57" s="60">
        <v>82479</v>
      </c>
      <c r="BD57" s="60">
        <v>8577</v>
      </c>
      <c r="BE57" s="60">
        <v>5000</v>
      </c>
      <c r="BF57" s="60"/>
      <c r="BG57" s="60"/>
      <c r="BH57" s="60"/>
      <c r="BI57" s="60"/>
      <c r="BJ57" s="60"/>
      <c r="BK57" s="60"/>
      <c r="BL57" s="60"/>
      <c r="BM57" s="60"/>
      <c r="BN57" s="60"/>
      <c r="BO57" s="60"/>
    </row>
    <row r="58" spans="1:67" ht="72" customHeight="1" thickTop="1" thickBot="1" x14ac:dyDescent="0.45">
      <c r="A58" s="35">
        <v>46097</v>
      </c>
      <c r="B58" s="6" t="s">
        <v>1460</v>
      </c>
      <c r="C58" s="59">
        <v>45299</v>
      </c>
      <c r="D58" s="59">
        <v>9068</v>
      </c>
      <c r="E58" s="59">
        <v>4520</v>
      </c>
      <c r="F58" s="59">
        <v>1511</v>
      </c>
      <c r="G58" s="59"/>
      <c r="H58" s="59"/>
      <c r="I58" s="59"/>
      <c r="J58" s="59"/>
      <c r="K58" s="59"/>
      <c r="L58" s="59">
        <v>100</v>
      </c>
      <c r="M58" s="6" t="s">
        <v>1691</v>
      </c>
      <c r="N58" s="6" t="s">
        <v>1692</v>
      </c>
      <c r="O58" s="6" t="s">
        <v>1693</v>
      </c>
      <c r="P58" s="6"/>
      <c r="Q58" s="6"/>
      <c r="R58" s="6"/>
      <c r="S58" s="6"/>
      <c r="T58" s="6"/>
      <c r="U58" s="59"/>
      <c r="V58" s="59"/>
      <c r="W58" s="59">
        <v>20000</v>
      </c>
      <c r="X58" s="59"/>
      <c r="Y58" s="59"/>
      <c r="Z58" s="59"/>
      <c r="AA58" s="59">
        <v>3200</v>
      </c>
      <c r="AB58" s="59">
        <v>3100</v>
      </c>
      <c r="AC58" s="59"/>
      <c r="AD58" s="59"/>
      <c r="AE58" s="59"/>
      <c r="AF58" s="59"/>
      <c r="AG58" s="59"/>
      <c r="AH58" s="59"/>
      <c r="AI58" s="59"/>
      <c r="AJ58" s="59"/>
      <c r="AK58" s="59"/>
      <c r="AL58" s="59"/>
      <c r="AM58" s="59"/>
      <c r="AN58" s="59"/>
      <c r="AO58" s="59">
        <v>3333</v>
      </c>
      <c r="AP58" s="59"/>
      <c r="AQ58" s="59"/>
      <c r="AR58" s="59"/>
      <c r="AS58" s="59"/>
      <c r="AT58" s="59"/>
      <c r="AU58" s="59"/>
      <c r="AV58" s="59">
        <v>3333</v>
      </c>
      <c r="AW58" s="59"/>
      <c r="AX58" s="59">
        <v>3333</v>
      </c>
      <c r="AY58" s="59"/>
      <c r="AZ58" s="59">
        <v>3000</v>
      </c>
      <c r="BA58" s="59"/>
      <c r="BB58" s="59"/>
      <c r="BC58" s="60">
        <v>3000</v>
      </c>
      <c r="BD58" s="60"/>
      <c r="BE58" s="60"/>
      <c r="BF58" s="60">
        <v>3000</v>
      </c>
      <c r="BG58" s="60"/>
      <c r="BH58" s="60"/>
      <c r="BI58" s="60"/>
      <c r="BJ58" s="60"/>
      <c r="BK58" s="60"/>
      <c r="BL58" s="60"/>
      <c r="BM58" s="60"/>
      <c r="BN58" s="60"/>
      <c r="BO58" s="60"/>
    </row>
    <row r="59" spans="1:67" ht="72" customHeight="1" thickTop="1" thickBot="1" x14ac:dyDescent="0.45">
      <c r="A59" s="35">
        <v>46098</v>
      </c>
      <c r="B59" s="6" t="s">
        <v>1419</v>
      </c>
      <c r="C59" s="59">
        <v>36000</v>
      </c>
      <c r="D59" s="59">
        <v>6000</v>
      </c>
      <c r="E59" s="59">
        <v>0</v>
      </c>
      <c r="F59" s="59"/>
      <c r="G59" s="59"/>
      <c r="H59" s="59"/>
      <c r="I59" s="59"/>
      <c r="J59" s="59"/>
      <c r="K59" s="59"/>
      <c r="L59" s="59">
        <v>100</v>
      </c>
      <c r="M59" s="6" t="s">
        <v>1694</v>
      </c>
      <c r="N59" s="6" t="s">
        <v>1695</v>
      </c>
      <c r="O59" s="6"/>
      <c r="P59" s="6"/>
      <c r="Q59" s="6"/>
      <c r="R59" s="6"/>
      <c r="S59" s="6"/>
      <c r="T59" s="6"/>
      <c r="U59" s="59"/>
      <c r="V59" s="59">
        <v>3000</v>
      </c>
      <c r="W59" s="59">
        <v>3000</v>
      </c>
      <c r="X59" s="59"/>
      <c r="Y59" s="59"/>
      <c r="Z59" s="59"/>
      <c r="AA59" s="59">
        <v>3000</v>
      </c>
      <c r="AB59" s="59">
        <v>3000</v>
      </c>
      <c r="AC59" s="59"/>
      <c r="AD59" s="59"/>
      <c r="AE59" s="59"/>
      <c r="AF59" s="59"/>
      <c r="AG59" s="59"/>
      <c r="AH59" s="59">
        <v>3000</v>
      </c>
      <c r="AI59" s="59"/>
      <c r="AJ59" s="59"/>
      <c r="AK59" s="59"/>
      <c r="AL59" s="59"/>
      <c r="AM59" s="59"/>
      <c r="AN59" s="59"/>
      <c r="AO59" s="59"/>
      <c r="AP59" s="59"/>
      <c r="AQ59" s="59"/>
      <c r="AR59" s="59"/>
      <c r="AS59" s="59"/>
      <c r="AT59" s="59"/>
      <c r="AU59" s="59"/>
      <c r="AV59" s="59"/>
      <c r="AW59" s="59"/>
      <c r="AX59" s="59">
        <v>3000</v>
      </c>
      <c r="AY59" s="59">
        <v>3000</v>
      </c>
      <c r="AZ59" s="59"/>
      <c r="BA59" s="59"/>
      <c r="BB59" s="59"/>
      <c r="BC59" s="60"/>
      <c r="BD59" s="60">
        <v>3000</v>
      </c>
      <c r="BE59" s="60"/>
      <c r="BF59" s="60">
        <v>3000</v>
      </c>
      <c r="BG59" s="60"/>
      <c r="BH59" s="60"/>
      <c r="BI59" s="60"/>
      <c r="BJ59" s="60"/>
      <c r="BK59" s="60"/>
      <c r="BL59" s="60"/>
      <c r="BM59" s="60"/>
      <c r="BN59" s="60"/>
      <c r="BO59" s="60"/>
    </row>
    <row r="60" spans="1:67" ht="72" customHeight="1" thickTop="1" thickBot="1" x14ac:dyDescent="0.45">
      <c r="A60" s="35">
        <v>46099</v>
      </c>
      <c r="B60" s="6" t="s">
        <v>1407</v>
      </c>
      <c r="C60" s="59">
        <v>93000</v>
      </c>
      <c r="D60" s="59">
        <v>20100</v>
      </c>
      <c r="E60" s="59">
        <v>18700</v>
      </c>
      <c r="F60" s="59">
        <v>18000</v>
      </c>
      <c r="G60" s="59">
        <v>15000</v>
      </c>
      <c r="H60" s="59">
        <v>10500</v>
      </c>
      <c r="I60" s="59">
        <v>7000</v>
      </c>
      <c r="J60" s="59">
        <v>3700</v>
      </c>
      <c r="K60" s="59"/>
      <c r="L60" s="59" t="s">
        <v>1408</v>
      </c>
      <c r="M60" s="6" t="s">
        <v>1036</v>
      </c>
      <c r="N60" s="6" t="s">
        <v>1026</v>
      </c>
      <c r="O60" s="6" t="s">
        <v>1061</v>
      </c>
      <c r="P60" s="6" t="s">
        <v>160</v>
      </c>
      <c r="Q60" s="6" t="s">
        <v>85</v>
      </c>
      <c r="R60" s="6" t="s">
        <v>1704</v>
      </c>
      <c r="S60" s="6" t="s">
        <v>69</v>
      </c>
      <c r="T60" s="6"/>
      <c r="U60" s="59"/>
      <c r="V60" s="59">
        <v>18700</v>
      </c>
      <c r="W60" s="59"/>
      <c r="X60" s="59"/>
      <c r="Y60" s="59"/>
      <c r="Z60" s="59"/>
      <c r="AA60" s="59">
        <v>10500</v>
      </c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59"/>
      <c r="AM60" s="59"/>
      <c r="AN60" s="59"/>
      <c r="AO60" s="59"/>
      <c r="AP60" s="59"/>
      <c r="AQ60" s="59"/>
      <c r="AR60" s="59"/>
      <c r="AS60" s="59"/>
      <c r="AT60" s="59"/>
      <c r="AU60" s="59"/>
      <c r="AV60" s="59"/>
      <c r="AW60" s="59"/>
      <c r="AX60" s="59"/>
      <c r="AY60" s="59"/>
      <c r="AZ60" s="59"/>
      <c r="BA60" s="59"/>
      <c r="BB60" s="59"/>
      <c r="BC60" s="60"/>
      <c r="BD60" s="60"/>
      <c r="BE60" s="60"/>
      <c r="BF60" s="60"/>
      <c r="BG60" s="60"/>
      <c r="BH60" s="60"/>
      <c r="BI60" s="60"/>
      <c r="BJ60" s="60"/>
      <c r="BK60" s="60"/>
      <c r="BL60" s="60"/>
      <c r="BM60" s="60"/>
      <c r="BN60" s="60"/>
      <c r="BO60" s="60"/>
    </row>
    <row r="61" spans="1:67" ht="72" customHeight="1" thickTop="1" thickBot="1" x14ac:dyDescent="0.45">
      <c r="A61" s="35">
        <v>46100</v>
      </c>
      <c r="B61" s="6" t="s">
        <v>1701</v>
      </c>
      <c r="C61" s="59">
        <v>580085</v>
      </c>
      <c r="D61" s="59">
        <v>43506</v>
      </c>
      <c r="E61" s="59">
        <v>29004</v>
      </c>
      <c r="F61" s="59"/>
      <c r="G61" s="59"/>
      <c r="H61" s="59"/>
      <c r="I61" s="59"/>
      <c r="J61" s="59"/>
      <c r="K61" s="59"/>
      <c r="L61" s="59">
        <v>100</v>
      </c>
      <c r="M61" s="6" t="s">
        <v>1703</v>
      </c>
      <c r="N61" s="6" t="s">
        <v>1702</v>
      </c>
      <c r="O61" s="6"/>
      <c r="P61" s="6"/>
      <c r="Q61" s="6"/>
      <c r="R61" s="6"/>
      <c r="S61" s="6"/>
      <c r="T61" s="6"/>
      <c r="U61" s="59"/>
      <c r="V61" s="59">
        <v>71279</v>
      </c>
      <c r="W61" s="59">
        <v>70074</v>
      </c>
      <c r="X61" s="59"/>
      <c r="Y61" s="59"/>
      <c r="Z61" s="59"/>
      <c r="AA61" s="59">
        <v>41200</v>
      </c>
      <c r="AB61" s="59"/>
      <c r="AC61" s="59"/>
      <c r="AD61" s="59"/>
      <c r="AE61" s="59"/>
      <c r="AF61" s="59"/>
      <c r="AG61" s="59"/>
      <c r="AH61" s="59">
        <v>29224</v>
      </c>
      <c r="AI61" s="59"/>
      <c r="AJ61" s="59"/>
      <c r="AK61" s="59">
        <v>20605</v>
      </c>
      <c r="AL61" s="59"/>
      <c r="AM61" s="59"/>
      <c r="AN61" s="59"/>
      <c r="AO61" s="59">
        <v>45000</v>
      </c>
      <c r="AP61" s="59"/>
      <c r="AQ61" s="59"/>
      <c r="AR61" s="59">
        <v>16626</v>
      </c>
      <c r="AS61" s="59"/>
      <c r="AT61" s="59"/>
      <c r="AU61" s="59"/>
      <c r="AV61" s="59">
        <v>65302</v>
      </c>
      <c r="AW61" s="59"/>
      <c r="AX61" s="59">
        <v>30428</v>
      </c>
      <c r="AY61" s="59">
        <v>10000</v>
      </c>
      <c r="AZ61" s="59"/>
      <c r="BA61" s="59"/>
      <c r="BB61" s="59"/>
      <c r="BC61" s="60">
        <v>34104</v>
      </c>
      <c r="BD61" s="60">
        <v>10000</v>
      </c>
      <c r="BE61" s="60">
        <v>9000</v>
      </c>
      <c r="BF61" s="60">
        <v>33274</v>
      </c>
      <c r="BG61" s="60">
        <v>31125</v>
      </c>
      <c r="BH61" s="60">
        <v>62844</v>
      </c>
      <c r="BI61" s="60"/>
      <c r="BJ61" s="60"/>
      <c r="BK61" s="60"/>
      <c r="BL61" s="60"/>
      <c r="BM61" s="60"/>
      <c r="BN61" s="60"/>
      <c r="BO61" s="60"/>
    </row>
    <row r="62" spans="1:67" ht="72" customHeight="1" thickTop="1" thickBot="1" x14ac:dyDescent="0.45">
      <c r="A62" s="61">
        <v>46101</v>
      </c>
      <c r="B62" s="3" t="s">
        <v>1450</v>
      </c>
      <c r="C62" s="5">
        <v>18000</v>
      </c>
      <c r="D62" s="5">
        <v>6000</v>
      </c>
      <c r="E62" s="5">
        <v>0</v>
      </c>
      <c r="M62" s="3" t="s">
        <v>1712</v>
      </c>
      <c r="N62" s="3" t="s">
        <v>1713</v>
      </c>
      <c r="AB62" s="5">
        <v>3000</v>
      </c>
      <c r="AK62" s="5">
        <v>3000</v>
      </c>
      <c r="AQ62" s="5"/>
      <c r="AR62" s="5">
        <v>3000</v>
      </c>
      <c r="AT62" s="5"/>
      <c r="BC62" s="60">
        <v>3000</v>
      </c>
      <c r="BD62" s="60"/>
      <c r="BE62" s="60"/>
      <c r="BF62" s="60">
        <v>3000</v>
      </c>
      <c r="BG62" s="60"/>
      <c r="BH62" s="60">
        <v>3000</v>
      </c>
      <c r="BI62" s="60"/>
      <c r="BJ62" s="60"/>
      <c r="BK62" s="60"/>
      <c r="BL62" s="60"/>
      <c r="BM62" s="60"/>
      <c r="BN62" s="60"/>
      <c r="BO62" s="62"/>
    </row>
    <row r="63" spans="1:67" ht="72" customHeight="1" thickTop="1" thickBot="1" x14ac:dyDescent="0.45">
      <c r="A63" s="35">
        <v>46102</v>
      </c>
      <c r="B63" s="6" t="s">
        <v>1551</v>
      </c>
      <c r="C63" s="59">
        <v>238731</v>
      </c>
      <c r="D63" s="59">
        <v>27411</v>
      </c>
      <c r="E63" s="59">
        <v>5997</v>
      </c>
      <c r="F63" s="59"/>
      <c r="G63" s="59"/>
      <c r="H63" s="59"/>
      <c r="I63" s="59"/>
      <c r="J63" s="59"/>
      <c r="K63" s="59"/>
      <c r="L63" s="59">
        <v>100</v>
      </c>
      <c r="M63" s="6" t="s">
        <v>1705</v>
      </c>
      <c r="N63" s="6" t="s">
        <v>1706</v>
      </c>
      <c r="O63" s="6"/>
      <c r="P63" s="6"/>
      <c r="Q63" s="6"/>
      <c r="R63" s="6"/>
      <c r="S63" s="6"/>
      <c r="T63" s="6"/>
      <c r="U63" s="59"/>
      <c r="V63" s="59">
        <v>40045</v>
      </c>
      <c r="W63" s="59">
        <v>30000</v>
      </c>
      <c r="X63" s="59"/>
      <c r="Y63" s="59"/>
      <c r="Z63" s="59"/>
      <c r="AA63" s="59">
        <v>27058</v>
      </c>
      <c r="AB63" s="59">
        <v>23295</v>
      </c>
      <c r="AC63" s="59"/>
      <c r="AD63" s="59"/>
      <c r="AE63" s="59"/>
      <c r="AF63" s="59"/>
      <c r="AG63" s="59"/>
      <c r="AH63" s="59">
        <v>16001</v>
      </c>
      <c r="AI63" s="59"/>
      <c r="AJ63" s="59"/>
      <c r="AK63" s="59">
        <v>3301</v>
      </c>
      <c r="AL63" s="59"/>
      <c r="AM63" s="59"/>
      <c r="AN63" s="59"/>
      <c r="AO63" s="59">
        <v>13500</v>
      </c>
      <c r="AP63" s="59"/>
      <c r="AQ63" s="59"/>
      <c r="AR63" s="59">
        <v>3000</v>
      </c>
      <c r="AS63" s="59"/>
      <c r="AT63" s="59"/>
      <c r="AU63" s="59"/>
      <c r="AV63" s="59"/>
      <c r="AW63" s="59"/>
      <c r="AX63" s="59">
        <v>23105</v>
      </c>
      <c r="AY63" s="59"/>
      <c r="AZ63" s="59"/>
      <c r="BA63" s="59"/>
      <c r="BB63" s="59"/>
      <c r="BC63" s="60">
        <v>13066</v>
      </c>
      <c r="BD63" s="60">
        <v>2908</v>
      </c>
      <c r="BE63" s="60">
        <v>2221</v>
      </c>
      <c r="BF63" s="60">
        <v>15000</v>
      </c>
      <c r="BG63" s="60">
        <v>10001</v>
      </c>
      <c r="BH63" s="60">
        <v>16230</v>
      </c>
      <c r="BI63" s="60"/>
      <c r="BJ63" s="60"/>
      <c r="BK63" s="60"/>
      <c r="BL63" s="60"/>
      <c r="BM63" s="60"/>
      <c r="BN63" s="60"/>
      <c r="BO63" s="60"/>
    </row>
    <row r="64" spans="1:67" ht="72" customHeight="1" thickTop="1" thickBot="1" x14ac:dyDescent="0.45">
      <c r="A64" s="61">
        <v>46103</v>
      </c>
      <c r="B64" s="3" t="s">
        <v>1460</v>
      </c>
      <c r="C64" s="5">
        <v>27000</v>
      </c>
      <c r="D64" s="5">
        <v>6300</v>
      </c>
      <c r="E64" s="5">
        <v>2700</v>
      </c>
      <c r="F64" s="5">
        <v>0</v>
      </c>
      <c r="M64" s="3" t="s">
        <v>1719</v>
      </c>
      <c r="N64" s="3" t="s">
        <v>1721</v>
      </c>
      <c r="O64" s="3" t="s">
        <v>1720</v>
      </c>
      <c r="AQ64" s="5"/>
      <c r="AT64" s="5"/>
      <c r="BC64" s="60"/>
      <c r="BD64" s="60"/>
      <c r="BE64" s="60"/>
      <c r="BF64" s="60"/>
      <c r="BG64" s="60"/>
      <c r="BH64" s="60"/>
      <c r="BI64" s="60"/>
      <c r="BJ64" s="60"/>
      <c r="BK64" s="60"/>
      <c r="BL64" s="60"/>
      <c r="BM64" s="60"/>
      <c r="BN64" s="60"/>
      <c r="BO64" s="62"/>
    </row>
    <row r="65" spans="1:67" ht="72" customHeight="1" thickTop="1" thickBot="1" x14ac:dyDescent="0.45">
      <c r="A65" s="35">
        <v>46103</v>
      </c>
      <c r="B65" s="6" t="s">
        <v>1419</v>
      </c>
      <c r="C65" s="59">
        <v>36000</v>
      </c>
      <c r="D65" s="59">
        <v>6000</v>
      </c>
      <c r="E65" s="59">
        <v>0</v>
      </c>
      <c r="F65" s="59"/>
      <c r="G65" s="59"/>
      <c r="H65" s="59"/>
      <c r="I65" s="59"/>
      <c r="J65" s="59"/>
      <c r="K65" s="59"/>
      <c r="L65" s="59"/>
      <c r="M65" s="6" t="s">
        <v>1707</v>
      </c>
      <c r="N65" s="6" t="s">
        <v>1708</v>
      </c>
      <c r="O65" s="6"/>
      <c r="P65" s="6"/>
      <c r="Q65" s="6"/>
      <c r="R65" s="6"/>
      <c r="S65" s="6"/>
      <c r="T65" s="6"/>
      <c r="U65" s="59"/>
      <c r="V65" s="59">
        <v>3000</v>
      </c>
      <c r="W65" s="59"/>
      <c r="X65" s="59"/>
      <c r="Y65" s="59"/>
      <c r="Z65" s="59"/>
      <c r="AA65" s="59">
        <v>3000</v>
      </c>
      <c r="AB65" s="59"/>
      <c r="AC65" s="59"/>
      <c r="AD65" s="59"/>
      <c r="AE65" s="59"/>
      <c r="AF65" s="59"/>
      <c r="AG65" s="59"/>
      <c r="AH65" s="59"/>
      <c r="AI65" s="59"/>
      <c r="AJ65" s="59"/>
      <c r="AK65" s="59"/>
      <c r="AL65" s="59"/>
      <c r="AM65" s="59"/>
      <c r="AN65" s="59"/>
      <c r="AO65" s="59"/>
      <c r="AP65" s="59"/>
      <c r="AQ65" s="59"/>
      <c r="AR65" s="59"/>
      <c r="AS65" s="59"/>
      <c r="AT65" s="59"/>
      <c r="AU65" s="59"/>
      <c r="AV65" s="59"/>
      <c r="AW65" s="59"/>
      <c r="AX65" s="59"/>
      <c r="AY65" s="59"/>
      <c r="AZ65" s="59"/>
      <c r="BA65" s="59"/>
      <c r="BB65" s="59"/>
      <c r="BC65" s="60"/>
      <c r="BD65" s="60"/>
      <c r="BE65" s="60"/>
      <c r="BF65" s="60"/>
      <c r="BG65" s="60"/>
      <c r="BH65" s="60">
        <v>3000</v>
      </c>
      <c r="BI65" s="60"/>
      <c r="BJ65" s="60"/>
      <c r="BK65" s="60"/>
      <c r="BL65" s="60"/>
      <c r="BM65" s="60"/>
      <c r="BN65" s="60"/>
      <c r="BO65" s="60"/>
    </row>
    <row r="66" spans="1:67" ht="72" customHeight="1" thickTop="1" thickBot="1" x14ac:dyDescent="0.45">
      <c r="A66" s="61">
        <v>46104</v>
      </c>
      <c r="B66" s="3" t="s">
        <v>932</v>
      </c>
      <c r="C66" s="5">
        <v>37800</v>
      </c>
      <c r="D66" s="5">
        <v>9450</v>
      </c>
      <c r="M66" s="3" t="s">
        <v>1714</v>
      </c>
      <c r="AQ66" s="5"/>
      <c r="AT66" s="5"/>
      <c r="BC66" s="60"/>
      <c r="BD66" s="60">
        <v>7000</v>
      </c>
      <c r="BE66" s="60"/>
      <c r="BF66" s="60">
        <v>10000</v>
      </c>
      <c r="BG66" s="60"/>
      <c r="BH66" s="60">
        <v>10900</v>
      </c>
      <c r="BI66" s="60"/>
      <c r="BJ66" s="60"/>
      <c r="BK66" s="60"/>
      <c r="BL66" s="60"/>
      <c r="BM66" s="60"/>
      <c r="BN66" s="60"/>
      <c r="BO66" s="62"/>
    </row>
    <row r="67" spans="1:67" ht="72" customHeight="1" thickTop="1" thickBot="1" x14ac:dyDescent="0.45">
      <c r="A67" s="61">
        <v>46105</v>
      </c>
      <c r="B67" s="3" t="s">
        <v>1715</v>
      </c>
      <c r="C67" s="5">
        <v>14000</v>
      </c>
      <c r="D67" s="5">
        <v>2000</v>
      </c>
      <c r="M67" s="3" t="s">
        <v>1716</v>
      </c>
      <c r="AK67" s="5">
        <v>2000</v>
      </c>
      <c r="AQ67" s="5"/>
      <c r="AT67" s="5"/>
      <c r="AX67" s="5">
        <v>2000</v>
      </c>
      <c r="BC67" s="60">
        <v>2000</v>
      </c>
      <c r="BD67" s="60">
        <v>2000</v>
      </c>
      <c r="BE67" s="60"/>
      <c r="BF67" s="60">
        <v>2000</v>
      </c>
      <c r="BG67" s="60">
        <v>2000</v>
      </c>
      <c r="BH67" s="60">
        <v>2000</v>
      </c>
      <c r="BI67" s="60"/>
      <c r="BJ67" s="60"/>
      <c r="BK67" s="60"/>
      <c r="BL67" s="60"/>
      <c r="BM67" s="60"/>
      <c r="BN67" s="60"/>
      <c r="BO67" s="62"/>
    </row>
    <row r="68" spans="1:67" ht="72" customHeight="1" thickTop="1" thickBot="1" x14ac:dyDescent="0.45">
      <c r="A68" s="61">
        <v>46105</v>
      </c>
      <c r="B68" s="3" t="s">
        <v>1436</v>
      </c>
      <c r="C68" s="5">
        <v>40000</v>
      </c>
      <c r="D68" s="5">
        <v>12000</v>
      </c>
      <c r="E68" s="5">
        <v>8000</v>
      </c>
      <c r="M68" s="3" t="s">
        <v>1718</v>
      </c>
      <c r="N68" s="3" t="s">
        <v>1717</v>
      </c>
      <c r="AQ68" s="5"/>
      <c r="AT68" s="5"/>
      <c r="BC68" s="60">
        <v>10000</v>
      </c>
      <c r="BD68" s="60"/>
      <c r="BE68" s="60"/>
      <c r="BF68" s="60">
        <v>10000</v>
      </c>
      <c r="BG68" s="60">
        <v>10000</v>
      </c>
      <c r="BH68" s="60">
        <v>10000</v>
      </c>
      <c r="BI68" s="60"/>
      <c r="BJ68" s="60"/>
      <c r="BK68" s="60"/>
      <c r="BL68" s="60"/>
      <c r="BM68" s="60"/>
      <c r="BN68" s="60"/>
      <c r="BO68" s="62"/>
    </row>
    <row r="69" spans="1:67" ht="72" customHeight="1" thickTop="1" thickBot="1" x14ac:dyDescent="0.45">
      <c r="A69" s="35">
        <v>46105</v>
      </c>
      <c r="B69" s="6" t="s">
        <v>1709</v>
      </c>
      <c r="C69" s="59">
        <v>20000</v>
      </c>
      <c r="D69" s="59">
        <v>4000</v>
      </c>
      <c r="E69" s="59">
        <v>0</v>
      </c>
      <c r="F69" s="59"/>
      <c r="G69" s="59"/>
      <c r="H69" s="59"/>
      <c r="I69" s="59"/>
      <c r="J69" s="59"/>
      <c r="K69" s="59"/>
      <c r="L69" s="59">
        <v>100</v>
      </c>
      <c r="M69" s="6" t="s">
        <v>1711</v>
      </c>
      <c r="N69" s="6" t="s">
        <v>1710</v>
      </c>
      <c r="O69" s="6"/>
      <c r="P69" s="6"/>
      <c r="Q69" s="6"/>
      <c r="R69" s="6"/>
      <c r="S69" s="6"/>
      <c r="T69" s="6"/>
      <c r="U69" s="59"/>
      <c r="V69" s="59">
        <v>2000</v>
      </c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>
        <v>2000</v>
      </c>
      <c r="AS69" s="59"/>
      <c r="AT69" s="59"/>
      <c r="AU69" s="59"/>
      <c r="AV69" s="59"/>
      <c r="AW69" s="59"/>
      <c r="AX69" s="59"/>
      <c r="AY69" s="59"/>
      <c r="AZ69" s="59"/>
      <c r="BA69" s="59"/>
      <c r="BB69" s="59"/>
      <c r="BC69" s="60"/>
      <c r="BD69" s="60"/>
      <c r="BE69" s="60"/>
      <c r="BF69" s="60"/>
      <c r="BG69" s="60"/>
      <c r="BH69" s="60">
        <v>2000</v>
      </c>
      <c r="BI69" s="60"/>
      <c r="BJ69" s="60"/>
      <c r="BK69" s="60"/>
      <c r="BL69" s="60"/>
      <c r="BM69" s="60"/>
      <c r="BN69" s="60"/>
      <c r="BO69" s="60"/>
    </row>
    <row r="70" spans="1:67" ht="72" customHeight="1" thickTop="1" thickBot="1" x14ac:dyDescent="0.45">
      <c r="A70" s="35">
        <v>46107</v>
      </c>
      <c r="B70" s="6" t="s">
        <v>905</v>
      </c>
      <c r="C70" s="59">
        <v>244417</v>
      </c>
      <c r="D70" s="59">
        <v>21242</v>
      </c>
      <c r="E70" s="59">
        <v>14161</v>
      </c>
      <c r="F70" s="59"/>
      <c r="G70" s="59"/>
      <c r="H70" s="59"/>
      <c r="I70" s="59"/>
      <c r="J70" s="59"/>
      <c r="K70" s="59"/>
      <c r="L70" s="59">
        <v>100</v>
      </c>
      <c r="M70" s="6" t="s">
        <v>1723</v>
      </c>
      <c r="N70" s="6" t="s">
        <v>1729</v>
      </c>
      <c r="O70" s="6"/>
      <c r="P70" s="6"/>
      <c r="Q70" s="6"/>
      <c r="R70" s="6"/>
      <c r="S70" s="6"/>
      <c r="T70" s="6"/>
      <c r="U70" s="59"/>
      <c r="V70" s="59">
        <v>35000</v>
      </c>
      <c r="W70" s="59">
        <v>23039</v>
      </c>
      <c r="X70" s="59"/>
      <c r="Y70" s="59"/>
      <c r="Z70" s="59"/>
      <c r="AA70" s="59">
        <v>20212</v>
      </c>
      <c r="AB70" s="59"/>
      <c r="AC70" s="59"/>
      <c r="AD70" s="59"/>
      <c r="AE70" s="59"/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>
        <v>4113</v>
      </c>
      <c r="AS70" s="59"/>
      <c r="AT70" s="59"/>
      <c r="AU70" s="59"/>
      <c r="AV70" s="59">
        <v>24420</v>
      </c>
      <c r="AW70" s="59"/>
      <c r="AX70" s="59">
        <v>17103</v>
      </c>
      <c r="AY70" s="59">
        <v>2105</v>
      </c>
      <c r="AZ70" s="59"/>
      <c r="BA70" s="59"/>
      <c r="BB70" s="59"/>
      <c r="BC70" s="60">
        <v>14600</v>
      </c>
      <c r="BD70" s="60">
        <v>6000</v>
      </c>
      <c r="BE70" s="60"/>
      <c r="BF70" s="60">
        <v>30340</v>
      </c>
      <c r="BG70" s="60">
        <v>16154</v>
      </c>
      <c r="BH70" s="60">
        <v>21337</v>
      </c>
      <c r="BI70" s="60">
        <v>17400</v>
      </c>
      <c r="BJ70" s="60">
        <v>12594</v>
      </c>
      <c r="BK70" s="60"/>
      <c r="BL70" s="60"/>
      <c r="BM70" s="60"/>
      <c r="BN70" s="60"/>
      <c r="BO70" s="60"/>
    </row>
    <row r="71" spans="1:67" ht="72" customHeight="1" thickTop="1" thickBot="1" x14ac:dyDescent="0.45">
      <c r="A71" s="35">
        <v>46108</v>
      </c>
      <c r="B71" s="6" t="s">
        <v>1730</v>
      </c>
      <c r="C71" s="59">
        <v>18000</v>
      </c>
      <c r="D71" s="59">
        <v>5000</v>
      </c>
      <c r="E71" s="59">
        <v>1000</v>
      </c>
      <c r="F71" s="59"/>
      <c r="G71" s="59"/>
      <c r="H71" s="59"/>
      <c r="I71" s="59"/>
      <c r="J71" s="59"/>
      <c r="K71" s="59"/>
      <c r="L71" s="59"/>
      <c r="M71" s="6" t="s">
        <v>1731</v>
      </c>
      <c r="N71" s="6" t="s">
        <v>1732</v>
      </c>
      <c r="O71" s="6"/>
      <c r="P71" s="6"/>
      <c r="Q71" s="6"/>
      <c r="R71" s="6"/>
      <c r="S71" s="6"/>
      <c r="T71" s="6"/>
      <c r="U71" s="59"/>
      <c r="V71" s="59"/>
      <c r="W71" s="59"/>
      <c r="X71" s="59"/>
      <c r="Y71" s="59"/>
      <c r="Z71" s="59"/>
      <c r="AA71" s="59">
        <v>3000</v>
      </c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9"/>
      <c r="AV71" s="59"/>
      <c r="AW71" s="59"/>
      <c r="AX71" s="59"/>
      <c r="AY71" s="59"/>
      <c r="AZ71" s="59"/>
      <c r="BA71" s="59"/>
      <c r="BB71" s="59"/>
      <c r="BC71" s="60">
        <v>3000</v>
      </c>
      <c r="BD71" s="60"/>
      <c r="BE71" s="60"/>
      <c r="BF71" s="60"/>
      <c r="BG71" s="60">
        <v>3000</v>
      </c>
      <c r="BH71" s="60">
        <v>3000</v>
      </c>
      <c r="BI71" s="60">
        <v>3000</v>
      </c>
      <c r="BJ71" s="60">
        <v>3000</v>
      </c>
      <c r="BK71" s="60"/>
      <c r="BL71" s="60"/>
      <c r="BM71" s="60"/>
      <c r="BN71" s="60"/>
      <c r="BO71" s="60"/>
    </row>
    <row r="72" spans="1:67" ht="72" customHeight="1" thickTop="1" thickBot="1" x14ac:dyDescent="0.45">
      <c r="A72" s="35">
        <v>46109</v>
      </c>
      <c r="B72" s="6" t="s">
        <v>1419</v>
      </c>
      <c r="C72" s="59">
        <v>36000</v>
      </c>
      <c r="D72" s="59">
        <v>6000</v>
      </c>
      <c r="E72" s="59">
        <v>0</v>
      </c>
      <c r="F72" s="59"/>
      <c r="G72" s="59"/>
      <c r="H72" s="59"/>
      <c r="I72" s="59"/>
      <c r="J72" s="59"/>
      <c r="K72" s="59"/>
      <c r="L72" s="59"/>
      <c r="M72" s="6" t="s">
        <v>1734</v>
      </c>
      <c r="N72" s="6" t="s">
        <v>1733</v>
      </c>
      <c r="O72" s="6"/>
      <c r="P72" s="6"/>
      <c r="Q72" s="6"/>
      <c r="R72" s="6"/>
      <c r="S72" s="6"/>
      <c r="T72" s="6"/>
      <c r="U72" s="59"/>
      <c r="V72" s="59"/>
      <c r="W72" s="59"/>
      <c r="X72" s="59"/>
      <c r="Y72" s="59"/>
      <c r="Z72" s="59"/>
      <c r="AA72" s="59">
        <v>3000</v>
      </c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>
        <v>3000</v>
      </c>
      <c r="AS72" s="59"/>
      <c r="AT72" s="59"/>
      <c r="AU72" s="59"/>
      <c r="AV72" s="59">
        <v>3000</v>
      </c>
      <c r="AW72" s="59"/>
      <c r="AX72" s="59"/>
      <c r="AY72" s="59"/>
      <c r="AZ72" s="59"/>
      <c r="BA72" s="59"/>
      <c r="BB72" s="59"/>
      <c r="BC72" s="60"/>
      <c r="BD72" s="60"/>
      <c r="BE72" s="60"/>
      <c r="BF72" s="60">
        <v>3000</v>
      </c>
      <c r="BG72" s="60"/>
      <c r="BH72" s="60">
        <v>3000</v>
      </c>
      <c r="BI72" s="60">
        <v>3000</v>
      </c>
      <c r="BJ72" s="60"/>
      <c r="BK72" s="60"/>
      <c r="BL72" s="60"/>
      <c r="BM72" s="60"/>
      <c r="BN72" s="60"/>
      <c r="BO72" s="60"/>
    </row>
    <row r="73" spans="1:67" ht="72" customHeight="1" thickTop="1" thickBot="1" x14ac:dyDescent="0.45">
      <c r="A73" s="35">
        <v>46109</v>
      </c>
      <c r="B73" s="6" t="s">
        <v>1407</v>
      </c>
      <c r="C73" s="59">
        <v>14000</v>
      </c>
      <c r="D73" s="59">
        <v>3000</v>
      </c>
      <c r="E73" s="59">
        <v>3000</v>
      </c>
      <c r="F73" s="59">
        <v>3000</v>
      </c>
      <c r="G73" s="59">
        <v>2000</v>
      </c>
      <c r="H73" s="59">
        <v>2000</v>
      </c>
      <c r="I73" s="59">
        <v>1000</v>
      </c>
      <c r="J73" s="59">
        <v>0</v>
      </c>
      <c r="K73" s="59"/>
      <c r="L73" s="59" t="s">
        <v>1408</v>
      </c>
      <c r="M73" s="6" t="s">
        <v>1013</v>
      </c>
      <c r="N73" s="6" t="s">
        <v>69</v>
      </c>
      <c r="O73" s="6" t="s">
        <v>1047</v>
      </c>
      <c r="P73" s="6" t="s">
        <v>181</v>
      </c>
      <c r="Q73" s="6" t="s">
        <v>1023</v>
      </c>
      <c r="R73" s="6" t="s">
        <v>1038</v>
      </c>
      <c r="S73" s="6" t="s">
        <v>1022</v>
      </c>
      <c r="T73" s="6"/>
      <c r="U73" s="59"/>
      <c r="V73" s="59"/>
      <c r="W73" s="59"/>
      <c r="X73" s="59"/>
      <c r="Y73" s="59"/>
      <c r="Z73" s="59"/>
      <c r="AA73" s="59">
        <v>2000</v>
      </c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9"/>
      <c r="AV73" s="59"/>
      <c r="AW73" s="59"/>
      <c r="AX73" s="59"/>
      <c r="AY73" s="59"/>
      <c r="AZ73" s="59"/>
      <c r="BA73" s="59"/>
      <c r="BB73" s="59"/>
      <c r="BC73" s="60">
        <v>2000</v>
      </c>
      <c r="BD73" s="60"/>
      <c r="BE73" s="60"/>
      <c r="BF73" s="60"/>
      <c r="BG73" s="60"/>
      <c r="BH73" s="60">
        <v>2000</v>
      </c>
      <c r="BI73" s="60"/>
      <c r="BJ73" s="60"/>
      <c r="BK73" s="60"/>
      <c r="BL73" s="60"/>
      <c r="BM73" s="60"/>
      <c r="BN73" s="60"/>
      <c r="BO73" s="60"/>
    </row>
    <row r="74" spans="1:67" ht="72" customHeight="1" thickTop="1" thickBot="1" x14ac:dyDescent="0.45">
      <c r="A74" s="35">
        <v>46110</v>
      </c>
      <c r="B74" s="6" t="s">
        <v>1735</v>
      </c>
      <c r="C74" s="59">
        <v>80942</v>
      </c>
      <c r="D74" s="59">
        <v>11563</v>
      </c>
      <c r="E74" s="59"/>
      <c r="F74" s="59"/>
      <c r="G74" s="59"/>
      <c r="H74" s="59"/>
      <c r="I74" s="59"/>
      <c r="J74" s="59"/>
      <c r="K74" s="59"/>
      <c r="L74" s="59"/>
      <c r="M74" s="6" t="s">
        <v>1736</v>
      </c>
      <c r="N74" s="6"/>
      <c r="O74" s="6"/>
      <c r="P74" s="6"/>
      <c r="Q74" s="6"/>
      <c r="R74" s="6"/>
      <c r="S74" s="6"/>
      <c r="T74" s="6"/>
      <c r="U74" s="59"/>
      <c r="V74" s="59"/>
      <c r="W74" s="59"/>
      <c r="X74" s="59"/>
      <c r="Y74" s="59"/>
      <c r="Z74" s="59"/>
      <c r="AA74" s="59">
        <v>23300</v>
      </c>
      <c r="AB74" s="59"/>
      <c r="AC74" s="59"/>
      <c r="AD74" s="59"/>
      <c r="AE74" s="59"/>
      <c r="AF74" s="59"/>
      <c r="AG74" s="59"/>
      <c r="AH74" s="59"/>
      <c r="AI74" s="59"/>
      <c r="AJ74" s="59"/>
      <c r="AK74" s="59">
        <v>13100</v>
      </c>
      <c r="AL74" s="59"/>
      <c r="AM74" s="59"/>
      <c r="AN74" s="59"/>
      <c r="AO74" s="59"/>
      <c r="AP74" s="59"/>
      <c r="AQ74" s="59"/>
      <c r="AR74" s="59">
        <v>7000</v>
      </c>
      <c r="AS74" s="59"/>
      <c r="AT74" s="59"/>
      <c r="AU74" s="59"/>
      <c r="AV74" s="59"/>
      <c r="AW74" s="59"/>
      <c r="AX74" s="59"/>
      <c r="AY74" s="59">
        <v>7000</v>
      </c>
      <c r="AZ74" s="59"/>
      <c r="BA74" s="59"/>
      <c r="BB74" s="59"/>
      <c r="BC74" s="60"/>
      <c r="BD74" s="60"/>
      <c r="BE74" s="60"/>
      <c r="BF74" s="60">
        <v>12601</v>
      </c>
      <c r="BG74" s="60"/>
      <c r="BH74" s="60"/>
      <c r="BI74" s="60">
        <v>10000</v>
      </c>
      <c r="BJ74" s="60">
        <v>7941</v>
      </c>
      <c r="BK74" s="60"/>
      <c r="BL74" s="60"/>
      <c r="BM74" s="60"/>
      <c r="BN74" s="60"/>
      <c r="BO74" s="60"/>
    </row>
    <row r="75" spans="1:67" ht="72" customHeight="1" thickTop="1" thickBot="1" x14ac:dyDescent="0.45">
      <c r="A75" s="35">
        <v>46113</v>
      </c>
      <c r="B75" s="6" t="s">
        <v>1737</v>
      </c>
      <c r="C75" s="59">
        <v>64400</v>
      </c>
      <c r="D75" s="59">
        <v>23800</v>
      </c>
      <c r="E75" s="59">
        <v>17300</v>
      </c>
      <c r="F75" s="59">
        <v>12900</v>
      </c>
      <c r="G75" s="59">
        <v>6400</v>
      </c>
      <c r="H75" s="59">
        <v>4000</v>
      </c>
      <c r="I75" s="59"/>
      <c r="J75" s="59"/>
      <c r="K75" s="59"/>
      <c r="L75" s="59"/>
      <c r="M75" s="6" t="s">
        <v>160</v>
      </c>
      <c r="N75" s="6" t="s">
        <v>1038</v>
      </c>
      <c r="O75" s="6" t="s">
        <v>1037</v>
      </c>
      <c r="P75" s="6" t="s">
        <v>69</v>
      </c>
      <c r="Q75" s="6" t="s">
        <v>194</v>
      </c>
      <c r="R75" s="6"/>
      <c r="S75" s="6"/>
      <c r="T75" s="6"/>
      <c r="U75" s="59"/>
      <c r="V75" s="59">
        <v>12400</v>
      </c>
      <c r="W75" s="59"/>
      <c r="X75" s="59"/>
      <c r="Y75" s="59"/>
      <c r="Z75" s="59"/>
      <c r="AA75" s="59">
        <v>12200</v>
      </c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59"/>
      <c r="AU75" s="59"/>
      <c r="AV75" s="59">
        <v>14700</v>
      </c>
      <c r="AW75" s="59"/>
      <c r="AX75" s="59"/>
      <c r="AY75" s="59"/>
      <c r="AZ75" s="59"/>
      <c r="BA75" s="59"/>
      <c r="BB75" s="59"/>
      <c r="BC75" s="60">
        <v>10500</v>
      </c>
      <c r="BD75" s="60"/>
      <c r="BE75" s="60"/>
      <c r="BF75" s="60">
        <v>14600</v>
      </c>
      <c r="BG75" s="60"/>
      <c r="BH75" s="60"/>
      <c r="BI75" s="60"/>
      <c r="BJ75" s="60"/>
      <c r="BK75" s="60"/>
      <c r="BL75" s="60"/>
      <c r="BM75" s="60"/>
      <c r="BN75" s="60"/>
      <c r="BO75" s="60"/>
    </row>
    <row r="76" spans="1:67" ht="72" customHeight="1" thickTop="1" thickBot="1" x14ac:dyDescent="0.45">
      <c r="A76" s="35">
        <v>46114</v>
      </c>
      <c r="B76" s="6" t="s">
        <v>1460</v>
      </c>
      <c r="C76" s="59">
        <v>5000</v>
      </c>
      <c r="D76" s="59">
        <v>5000</v>
      </c>
      <c r="E76" s="59">
        <v>0</v>
      </c>
      <c r="F76" s="59">
        <v>0</v>
      </c>
      <c r="G76" s="59">
        <v>0</v>
      </c>
      <c r="H76" s="59">
        <v>0</v>
      </c>
      <c r="I76" s="59"/>
      <c r="J76" s="59"/>
      <c r="K76" s="59"/>
      <c r="L76" s="59" t="s">
        <v>1530</v>
      </c>
      <c r="M76" s="6" t="s">
        <v>160</v>
      </c>
      <c r="N76" s="6" t="s">
        <v>69</v>
      </c>
      <c r="O76" s="6" t="s">
        <v>1037</v>
      </c>
      <c r="P76" s="6" t="s">
        <v>1022</v>
      </c>
      <c r="Q76" s="6" t="s">
        <v>196</v>
      </c>
      <c r="R76" s="6"/>
      <c r="S76" s="6"/>
      <c r="T76" s="6"/>
      <c r="U76" s="59"/>
      <c r="V76" s="59">
        <v>1000</v>
      </c>
      <c r="W76" s="59"/>
      <c r="X76" s="59"/>
      <c r="Y76" s="59"/>
      <c r="Z76" s="59"/>
      <c r="AA76" s="59">
        <v>1000</v>
      </c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9"/>
      <c r="AW76" s="59"/>
      <c r="AX76" s="59">
        <v>1000</v>
      </c>
      <c r="AY76" s="59"/>
      <c r="AZ76" s="59"/>
      <c r="BA76" s="59"/>
      <c r="BB76" s="59"/>
      <c r="BC76" s="60"/>
      <c r="BD76" s="60"/>
      <c r="BE76" s="60"/>
      <c r="BF76" s="60">
        <v>1000</v>
      </c>
      <c r="BG76" s="60"/>
      <c r="BH76" s="60">
        <v>1000</v>
      </c>
      <c r="BI76" s="60"/>
      <c r="BJ76" s="60"/>
      <c r="BK76" s="60"/>
      <c r="BL76" s="60"/>
      <c r="BM76" s="60"/>
      <c r="BN76" s="60"/>
      <c r="BO76" s="60"/>
    </row>
    <row r="77" spans="1:67" ht="72" customHeight="1" thickTop="1" thickBot="1" x14ac:dyDescent="0.45">
      <c r="A77" s="35">
        <v>46115</v>
      </c>
      <c r="B77" s="6" t="s">
        <v>1409</v>
      </c>
      <c r="C77" s="59">
        <v>12000</v>
      </c>
      <c r="D77" s="59">
        <v>4000</v>
      </c>
      <c r="E77" s="59">
        <v>0</v>
      </c>
      <c r="F77" s="59"/>
      <c r="G77" s="59"/>
      <c r="H77" s="59"/>
      <c r="I77" s="59"/>
      <c r="J77" s="59"/>
      <c r="K77" s="59"/>
      <c r="L77" s="59"/>
      <c r="M77" s="6" t="s">
        <v>1748</v>
      </c>
      <c r="N77" s="6" t="s">
        <v>1747</v>
      </c>
      <c r="O77" s="6"/>
      <c r="P77" s="6"/>
      <c r="Q77" s="6"/>
      <c r="R77" s="6"/>
      <c r="S77" s="6"/>
      <c r="T77" s="6"/>
      <c r="U77" s="59"/>
      <c r="V77" s="59"/>
      <c r="W77" s="59"/>
      <c r="X77" s="59"/>
      <c r="Y77" s="59"/>
      <c r="Z77" s="59"/>
      <c r="AA77" s="59">
        <v>2000</v>
      </c>
      <c r="AB77" s="59"/>
      <c r="AC77" s="59"/>
      <c r="AD77" s="59"/>
      <c r="AE77" s="59"/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9"/>
      <c r="AR77" s="59"/>
      <c r="AS77" s="59"/>
      <c r="AT77" s="59"/>
      <c r="AU77" s="59"/>
      <c r="AV77" s="59">
        <v>2000</v>
      </c>
      <c r="AW77" s="59"/>
      <c r="AX77" s="59"/>
      <c r="AY77" s="59">
        <v>2000</v>
      </c>
      <c r="AZ77" s="59"/>
      <c r="BA77" s="59"/>
      <c r="BB77" s="59"/>
      <c r="BC77" s="60">
        <v>2000</v>
      </c>
      <c r="BD77" s="60"/>
      <c r="BE77" s="60"/>
      <c r="BF77" s="60"/>
      <c r="BG77" s="60">
        <v>2000</v>
      </c>
      <c r="BH77" s="60"/>
      <c r="BI77" s="60"/>
      <c r="BJ77" s="60"/>
      <c r="BK77" s="60"/>
      <c r="BL77" s="60"/>
      <c r="BM77" s="60"/>
      <c r="BN77" s="60"/>
      <c r="BO77" s="60"/>
    </row>
    <row r="78" spans="1:67" ht="72" customHeight="1" thickTop="1" thickBot="1" x14ac:dyDescent="0.45">
      <c r="A78" s="35"/>
      <c r="B78" s="6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6"/>
      <c r="N78" s="6"/>
      <c r="O78" s="6"/>
      <c r="P78" s="6"/>
      <c r="Q78" s="6"/>
      <c r="R78" s="6"/>
      <c r="S78" s="6"/>
      <c r="T78" s="6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9"/>
      <c r="AS78" s="59"/>
      <c r="AT78" s="59"/>
      <c r="AU78" s="59"/>
      <c r="AV78" s="59"/>
      <c r="AW78" s="59"/>
      <c r="AX78" s="59"/>
      <c r="AY78" s="59"/>
      <c r="AZ78" s="59"/>
      <c r="BA78" s="59"/>
      <c r="BB78" s="59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</row>
  </sheetData>
  <phoneticPr fontId="1" type="noConversion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A2FFA-2B8A-4494-9799-7080F62958CF}">
  <sheetPr codeName="Sheet10"/>
  <dimension ref="A1:N30"/>
  <sheetViews>
    <sheetView topLeftCell="A3" zoomScale="70" zoomScaleNormal="70" workbookViewId="0">
      <selection activeCell="I24" sqref="I24"/>
    </sheetView>
  </sheetViews>
  <sheetFormatPr defaultColWidth="15.69921875" defaultRowHeight="24" customHeight="1" thickTop="1" thickBottom="1" x14ac:dyDescent="0.45"/>
  <cols>
    <col min="1" max="1" width="15.69921875" style="15"/>
    <col min="2" max="3" width="15.69921875" style="5" customWidth="1"/>
    <col min="4" max="4" width="15.69921875" style="16" customWidth="1"/>
    <col min="5" max="6" width="15.69921875" style="5" customWidth="1"/>
    <col min="7" max="7" width="15.69921875" style="16" customWidth="1"/>
    <col min="8" max="8" width="15.69921875" style="5" customWidth="1"/>
    <col min="9" max="16384" width="15.69921875" style="3"/>
  </cols>
  <sheetData>
    <row r="1" spans="1:14" ht="24" customHeight="1" thickTop="1" thickBot="1" x14ac:dyDescent="0.45">
      <c r="A1" s="73" t="str">
        <f>_xlfn.LET(
  _xlpm.YTXT, M1,
  _xlpm.MTXT, N1,
  _xlpm.YVAL, VALUE(_xlpm.YTXT),
  _xlpm.MVAL, VALUE(_xlpm.MTXT),
  _xlpm.VALD, AND(ISNUMBER(_xlpm.YVAL), ISNUMBER(_xlpm.MVAL), _xlpm.MVAL&gt;=1, _xlpm.MVAL&lt;=12),
  _xlpm.OUTP, IF(_xlpm.VALD, TEXT(DATE(_xlpm.YVAL, _xlpm.MVAL, 1), "yy년 mm월"), ""),
  _xlpm.OUTP
)</f>
        <v>26년 04월</v>
      </c>
      <c r="B1" s="73"/>
      <c r="C1" s="73"/>
      <c r="D1" s="73"/>
      <c r="E1" s="73"/>
      <c r="F1" s="73"/>
      <c r="G1" s="73"/>
      <c r="H1" s="73"/>
      <c r="K1" s="8"/>
      <c r="M1" s="9">
        <v>2026</v>
      </c>
      <c r="N1" s="10">
        <v>4</v>
      </c>
    </row>
    <row r="2" spans="1:14" ht="24" customHeight="1" thickTop="1" thickBot="1" x14ac:dyDescent="0.45">
      <c r="A2" s="11" t="s">
        <v>947</v>
      </c>
      <c r="B2" s="12" t="s">
        <v>948</v>
      </c>
      <c r="C2" s="12" t="s">
        <v>949</v>
      </c>
      <c r="D2" s="13" t="s">
        <v>950</v>
      </c>
      <c r="E2" s="12" t="s">
        <v>951</v>
      </c>
      <c r="F2" s="12" t="s">
        <v>952</v>
      </c>
      <c r="G2" s="13" t="s">
        <v>953</v>
      </c>
      <c r="H2" s="12" t="s">
        <v>954</v>
      </c>
      <c r="L2" s="14"/>
      <c r="M2" s="14"/>
    </row>
    <row r="3" spans="1:14" ht="24" customHeight="1" thickTop="1" thickBot="1" x14ac:dyDescent="0.45">
      <c r="A3" s="15" t="str" cm="1">
        <f t="array" aca="1" ref="A3:A23" ca="1">_xlfn.LET(
  _xlpm.YEAR, $M$1,
  _xlpm.MONT, $N$1,
  _xlpm.VALD, AND(ISNUMBER(_xlpm.YEAR), ISNUMBER(_xlpm.MONT), _xlpm.YEAR&gt;0, _xlpm.MONT&gt;=1, _xlpm.MONT&lt;=12),
  _xlpm.TDAT, 설정!$A$2,
  _xlpm.SDAT, IF(_xlpm.VALD, DATE(_xlpm.YEAR, _xlpm.MONT, 1), DATE(1900,1,1)),
  _xlpm.EDAT, IF(_xlpm.VALD, EOMONTH(_xlpm.SDAT, 0), DATE(1899,12,31)),
  _xlpm.IDAT, 멤버[입단일],
  _xlpm.ODAT, 멤버[퇴단일],
  _xlpm.OSUB, IF(_xlpm.ODAT="", _xlpm.TDAT, _xlpm.ODAT),
  _xlpm.MSKD, (_xlpm.IDAT&lt;=_xlpm.EDAT) * (_xlpm.OSUB&gt;=_xlpm.SDAT) * _xlpm.VALD,
  _xlpm.CNTL, SUM(--_xlpm.MSKD),
  IF(_xlpm.CNTL&gt;0, _xlfn._xlws.FILTER(멤버[이름], _xlpm.MSKD), "")
)</f>
        <v>김윤환</v>
      </c>
      <c r="B3" s="5" cm="1">
        <f t="array" aca="1" ref="B3:B23" ca="1">_xlfn.LET(
  _xlpm.YEAR, $M$1,
  _xlpm.MONT, $N$1,
  _xlpm.TDAT, 설정!$A$2,
  _xlpm.SDAT, DATE(IF(_xlpm.YEAR="", YEAR(_xlpm.TDAT), VALUE(_xlpm.YEAR)), IF(_xlpm.MONT="", MONTH(_xlpm.TDAT), VALUE(_xlpm.MONT)), 1),
  _xlpm.EDAT, EOMONTH(_xlpm.SDAT, 0),
  _xlpm.DRNG, 이부[날짜],
  _xlpm.TRNG, 이부[[승리팀]:[8위팀]],
  _xlpm.DNUM, --_xlpm.DRNG,
  _xlpm.MSKD, (_xlpm.DNUM&gt;=_xlpm.SDAT) * (_xlpm.DNUM&lt;=_xlpm.EDAT),
  _xlpm.NAMS,_xlfn.ANCHORARRAY( $A$3),
  _xlpm.RESF, _xlfn.MAP(_xlpm.NAMS, _xlfn.LAMBDA(_xlpm.NMXX, IF(_xlpm.NMXX="","",
   _xlfn.LET(
    _xlpm.FARR, --(IFERROR(SEARCH(_xlpm.NMXX, _xlpm.TRNG), 0) &gt; 0),
    _xlpm.CNTL, SUM(_xlpm.MSKD * _xlpm.FARR),
    IF(_xlpm.CNTL=0, "", _xlpm.CNTL))))),
  _xlpm.RESF
)</f>
        <v>2</v>
      </c>
      <c r="C3" s="5" cm="1">
        <f t="array" aca="1" ref="C3:C23" ca="1">_xlfn.LET(
  _xlpm.YEAR, $M$1,
  _xlpm.MONT, $N$1,
  _xlpm.TDAT, 설정!$A$2,
  _xlpm.SDAT, DATE(IF(_xlpm.YEAR="", YEAR(_xlpm.TDAT), VALUE(_xlpm.YEAR)), IF(_xlpm.MONT="", MONTH(_xlpm.TDAT), VALUE(_xlpm.MONT)), 1),
  _xlpm.EDAT, EOMONTH(_xlpm.SDAT, 0),
  _xlpm.DRNG, 이부[날짜],
  _xlpm.TRNG, 이부[승리팀],
  _xlpm.PTRNG, 이부[[승리팀]:[8위팀]],
  _xlpm.DNUM, --_xlpm.DRNG,
  _xlpm.MSKD, (_xlpm.DNUM&gt;=_xlpm.SDAT) * (_xlpm.DNUM&lt;=_xlpm.EDAT),
  _xlpm.NAMS,_xlfn.ANCHORARRAY( $A$3),
  _xlpm.RESF, _xlfn.MAP(_xlpm.NAMS, _xlfn.LAMBDA(_xlpm.NMXX, IF(_xlpm.NMXX="","",
   _xlfn.LET(
    _xlpm.FARR, --(IFERROR(SEARCH(_xlpm.NMXX, _xlpm.TRNG), 0) &gt; 0),
    _xlpm.CNTL, SUM(_xlpm.MSKD * _xlpm.FARR),
    _xlpm.PARR, --(IFERROR(SEARCH(_xlpm.NMXX, _xlpm.PTRNG), 0) &gt; 0),
    _xlpm.PCNT, SUM(_xlpm.MSKD * _xlpm.PARR),
    IF(_xlpm.CNTL=0, IF(_xlpm.PCNT&gt;0, 0, ""), _xlpm.CNTL)
   )))),
  _xlpm.RESF
)</f>
        <v>2</v>
      </c>
      <c r="D3" s="16" cm="1">
        <f t="array" aca="1" ref="D3:D23" ca="1">_xlfn.LET(
  _xlpm.HCOL,_xlfn.ANCHORARRAY( $B$3),
  _xlpm.ICOL,_xlfn.ANCHORARRAY( $C$3),
  _xlpm.MAPF, _xlfn.MAP(_xlpm.HCOL, _xlpm.ICOL, _xlfn.LAMBDA(_xlpm.HVAL,_xlpm.IVAL, IF(OR(_xlpm.HVAL="", _xlpm.HVAL=0), "", ROUND(_xlpm.IVAL / _xlpm.HVAL, 3)))),
  _xlpm.MAPF
)</f>
        <v>1</v>
      </c>
      <c r="E3" s="5" cm="1">
        <f t="array" aca="1" ref="E3:E23" ca="1">_xlfn.LET(
  _xlpm.YEAR, $M$1,
  _xlpm.MONT, $N$1,
  _xlpm.TDAT, 설정!$A$2,
  _xlpm.YUSE, IF(_xlpm.YEAR="", YEAR(_xlpm.TDAT), VALUE(_xlpm.YEAR)),
  _xlpm.MUSE, IF(_xlpm.MONT="", MONTH(_xlpm.TDAT), VALUE(_xlpm.MONT)),
  _xlpm.YMTH, TEXT(DATE(_xlpm.YUSE, _xlpm.MUSE, 1), "yyyymm"),
  _xlpm.MSKM, TEXT(이부[날짜], "yyyymm") = _xlpm.YMTH,
  _xlpm.TRAW, _xlfn._xlws.FILTER(이부[[승리팀]:[8위팀]], _xlpm.MSKM),
  _xlpm.PRAW, _xlfn._xlws.FILTER(이부[[승리팀 상금]:[8위팀 상금]], _xlpm.MSKM),
  _xlpm.NRAW,_xlfn.ANCHORARRAY( $A$3),
  _xlpm.PATS,_xlfn.ANCHORARRAY( $B$3),
  _xlpm.MAPF, _xlfn.MAP(_xlpm.NRAW, _xlpm.PATS, _xlfn.LAMBDA(_xlpm.NMXX,_xlpm.PTXX, IF(OR(_xlpm.NMXX="", _xlpm.PTXX=""), "",
   _xlfn.LET(
    _xlpm.TPRZ, SUMPRODUCT(--(ISNUMBER(SEARCH(_xlpm.NMXX, _xlpm.TRAW))), _xlpm.PRAW),
    _xlpm.PARR, --(ISNUMBER(SEARCH(_xlpm.NMXX, _xlpm.TRAW))),
    _xlpm.PCNT, SUM(_xlpm.PARR),
    IF(_xlpm.TPRZ=0, IF(_xlpm.PCNT&gt;0, 0, ""), _xlpm.TPRZ)
   )))),
  _xlpm.MAPF
)</f>
        <v>28800</v>
      </c>
      <c r="F3" s="5" cm="1">
        <f t="array" aca="1" ref="F3:F23" ca="1">_xlfn.LET(
  _xlpm.YEAR, $M$1,
  _xlpm.MONT, $N$1,
  _xlpm.TDAT, 설정!$A$2,
  _xlpm.YUSE, IF(_xlpm.YEAR="", YEAR(_xlpm.TDAT), VALUE(_xlpm.YEAR)),
  _xlpm.MUSE, IF(_xlpm.MONT="", MONTH(_xlpm.TDAT), VALUE(_xlpm.MONT)),
  _xlpm.SDAT, DATE(_xlpm.YUSE, _xlpm.MUSE, 1),
  _xlpm.EDAT, EOMONTH(_xlpm.SDAT, 0),
  _xlpm.HDRS, 이부[#Headers],
  _xlpm.DATA, 이부[#Data],
  _xlpm.DRNG, 이부[날짜],
  _xlpm.NAMS,_xlfn.ANCHORARRAY( $A$3),
  _xlpm.RESF, _xlfn.MAP(_xlpm.NAMS, _xlfn.LAMBDA(_xlpm.NMXX, IF(_xlpm.NMXX="","",
   _xlfn.LET(
    _xlpm.CIDX, MATCH(_xlpm.NMXX, _xlpm.HDRS, 0),
    _xlpm.COLR, INDEX(_xlpm.DATA, 0, _xlpm.CIDX),
    _xlpm.TOTL, SUMIFS(_xlpm.COLR, _xlpm.DRNG, "&gt;="&amp;_xlpm.SDAT, _xlpm.DRNG, "&lt;="&amp;_xlpm.EDAT),
    IF(_xlpm.TOTL=0, "", _xlpm.TOTL))))),
  _xlpm.RESF
)</f>
        <v>13400</v>
      </c>
      <c r="G3" s="16" cm="1">
        <f t="array" aca="1" ref="G3:G23" ca="1">_xlfn.LET(
  _xlpm.LCOL,_xlfn.ANCHORARRAY( $F$3),
  _xlpm.KCOL,_xlfn.ANCHORARRAY( $E$3),
  _xlpm.RESF, _xlfn.MAP(_xlpm.LCOL, _xlpm.KCOL, _xlfn.LAMBDA(_xlpm.LVAL,_xlpm.KVAL, IF(OR(_xlpm.LVAL="", _xlpm.LVAL=0), "", ROUND(_xlpm.KVAL / _xlpm.LVAL, 3)))),
  _xlpm.RESF
)</f>
        <v>2.149</v>
      </c>
      <c r="H3" s="5" cm="1">
        <f t="array" aca="1" ref="H3:H23" ca="1">_xlfn.LET(
 _xlpm.YEAR,$M$1,
 _xlpm.MONT,$N$1,
 _xlpm.TDAT,설정!$A$2,
 _xlpm.SDAT,DATE(IF(_xlpm.YEAR="",YEAR(_xlpm.TDAT),VALUE(_xlpm.YEAR)),IF(_xlpm.MONT="",MONTH(_xlpm.TDAT),VALUE(_xlpm.MONT)),1),
 _xlpm.EDAT,EOMONTH(_xlpm.SDAT,0),
 _xlpm.DRNG,이부[날짜],
 _xlpm.TRAL,이부[[승리팀]:[8위팀]],
 _xlpm.GRAW,이부[지원금],
 _xlpm.COLS,COLUMNS(_xlpm.TRAL),
 _xlpm.ROWN,ROWS(_xlpm.TRAL),
 _xlpm.DNUM,--_xlpm.DRNG,
 _xlpm.MSKD,(_xlpm.DNUM&gt;=_xlpm.SDAT)*(_xlpm.DNUM&lt;=_xlpm.EDAT),
 _xlpm.NAMS,_xlfn.ANCHORARRAY($A$3),
 _xlpm.PALL, _xlfn.MAP(_xlfn.SEQUENCE(_xlpm.ROWN), _xlfn.LAMBDA(_xlpm.RIDX,
  _xlfn.LET(
   _xlpm.RROW, INDEX(_xlpm.TRAL, _xlpm.RIDX, _xlfn.SEQUENCE(_xlpm.COLS)),
   _xlpm.GROW, INDEX(_xlpm.GRAW, _xlpm.RIDX),
   _xlpm.GARR, IF(_xlpm.GROW="",, _xlfn.TEXTSPLIT(_xlpm.GROW, ", ")),
   _xlpm.GNUM, IF(_xlpm.GARR="", 0, _xlfn.MAP(_xlpm.GARR, _xlfn.LAMBDA(_xlpm.X, IFERROR(_xlfn.NUMBERVALUE(TRIM(_xlpm.X),".",","),0)))),
   _xlpm.GPAD, IFERROR(INDEX(_xlpm.GNUM, _xlfn.SEQUENCE(_xlpm.COLS)), 0),
   SUM( _xlfn.MAP(_xlfn.SEQUENCE(_xlpm.COLS), _xlfn.LAMBDA(_xlpm.CIDX,
    _xlfn.LET(
     _xlpm.CELL, INDEX(_xlpm.RROW, _xlpm.CIDX),
     _xlpm.CNT, IF(TRIM(_xlpm.CELL)="", 0, LEN(TRIM(_xlpm.CELL)) - LEN(SUBSTITUTE(TRIM(_xlpm.CELL)," ","")) + 1),
     _xlpm.MASK, --(IFERROR(SEARCH(NAME, _xlpm.CELL),0)&gt;0),
     _xlpm.MASK * 0))))))),
 _xlpm.MAPF, _xlfn.MAP(_xlpm.NAMS, _xlfn.LAMBDA(_xlpm.NAME,
  IF(_xlpm.NAME="","",
   _xlfn.LET(
    _xlpm.PRNM, _xlfn.MAP(_xlfn.SEQUENCE(_xlpm.ROWN), _xlfn.LAMBDA(_xlpm.RIDX,
     _xlfn.LET(
      _xlpm.RROW, INDEX(_xlpm.TRAL, _xlpm.RIDX, _xlfn.SEQUENCE(_xlpm.COLS)),
      _xlpm.GROW, INDEX(_xlpm.GRAW, _xlpm.RIDX),
      _xlpm.GARR, IF(_xlpm.GROW="",, _xlfn.TEXTSPLIT(_xlpm.GROW, ", ")),
      _xlpm.GNUM, IF(_xlpm.GARR="", 0, _xlfn.MAP(_xlpm.GARR, _xlfn.LAMBDA(_xlpm.X, IFERROR(_xlfn.NUMBERVALUE(TRIM(_xlpm.X),".",","),0)))),
      _xlpm.GPAD, IFERROR(INDEX(_xlpm.GNUM, _xlfn.SEQUENCE(_xlpm.COLS)), 0),
      SUM( _xlfn.MAP(_xlfn.SEQUENCE(_xlpm.COLS), _xlfn.LAMBDA(_xlpm.CIDX,
       _xlfn.LET(
        _xlpm.CELL, INDEX(_xlpm.RROW, _xlpm.CIDX),
        _xlpm.CNT, IF(TRIM(_xlpm.CELL)="", 0, LEN(TRIM(_xlpm.CELL)) - LEN(SUBSTITUTE(TRIM(_xlpm.CELL)," ","")) + 1),
        _xlpm.MASK, --(IFERROR(SEARCH(_xlpm.NAME, _xlpm.CELL),0)&gt;0),
        _xlpm.ALLO, IF(_xlpm.CNT=0, 0, INDEX(_xlpm.GPAD, _xlpm.CIDX) / _xlpm.CNT),
        _xlpm.MASK * _xlpm.ALLO))))))),
    _xlpm.SUMV, SUMPRODUCT(_xlpm.MSKD * _xlpm.PRNM),
    _xlpm.PART, SUMPRODUCT(--(_xlfn.BYROW(_xlpm.TRAL, _xlfn.LAMBDA(_xlpm.RR, SUM(--(IFERROR(SEARCH(_xlpm.NAME, _xlpm.RR),0)&gt;0))))) * _xlpm.MSKD),
    IF(_xlpm.PART=0,"", IF(_xlpm.SUMV=0,0,_xlpm.SUMV)))))),
 _xlpm.MAPF
)</f>
        <v>50</v>
      </c>
    </row>
    <row r="4" spans="1:14" ht="24" customHeight="1" thickTop="1" thickBot="1" x14ac:dyDescent="0.45">
      <c r="A4" s="7" t="str">
        <f ca="1"/>
        <v>이경민</v>
      </c>
      <c r="B4" s="17" t="str">
        <f ca="1"/>
        <v/>
      </c>
      <c r="C4" s="17" t="str">
        <f ca="1"/>
        <v/>
      </c>
      <c r="D4" s="18" t="str">
        <f ca="1"/>
        <v/>
      </c>
      <c r="E4" s="17" t="str">
        <f ca="1"/>
        <v/>
      </c>
      <c r="F4" s="17" t="str">
        <f ca="1"/>
        <v/>
      </c>
      <c r="G4" s="18" t="str">
        <f ca="1"/>
        <v/>
      </c>
      <c r="H4" s="17" t="str">
        <f ca="1"/>
        <v/>
      </c>
    </row>
    <row r="5" spans="1:14" ht="24" customHeight="1" thickTop="1" thickBot="1" x14ac:dyDescent="0.45">
      <c r="A5" s="15" t="str">
        <f ca="1"/>
        <v>토마토</v>
      </c>
      <c r="B5" s="5">
        <f ca="1"/>
        <v>3</v>
      </c>
      <c r="C5" s="5">
        <f ca="1"/>
        <v>0</v>
      </c>
      <c r="D5" s="16">
        <f ca="1"/>
        <v>0</v>
      </c>
      <c r="E5" s="5">
        <f ca="1"/>
        <v>6400</v>
      </c>
      <c r="F5" s="5">
        <f ca="1"/>
        <v>15200</v>
      </c>
      <c r="G5" s="16">
        <f ca="1"/>
        <v>0.42099999999999999</v>
      </c>
      <c r="H5" s="5">
        <f ca="1"/>
        <v>30</v>
      </c>
    </row>
    <row r="6" spans="1:14" ht="24" customHeight="1" thickTop="1" thickBot="1" x14ac:dyDescent="0.45">
      <c r="A6" s="7" t="str">
        <f ca="1"/>
        <v>임조이</v>
      </c>
      <c r="B6" s="17" t="str">
        <f ca="1"/>
        <v/>
      </c>
      <c r="C6" s="17" t="str">
        <f ca="1"/>
        <v/>
      </c>
      <c r="D6" s="18" t="str">
        <f ca="1"/>
        <v/>
      </c>
      <c r="E6" s="17" t="str">
        <f ca="1"/>
        <v/>
      </c>
      <c r="F6" s="17" t="str">
        <f ca="1"/>
        <v/>
      </c>
      <c r="G6" s="18" t="str">
        <f ca="1"/>
        <v/>
      </c>
      <c r="H6" s="17" t="str">
        <f ca="1"/>
        <v/>
      </c>
    </row>
    <row r="7" spans="1:14" ht="24" customHeight="1" thickTop="1" thickBot="1" x14ac:dyDescent="0.45">
      <c r="A7" s="15" t="str">
        <f ca="1"/>
        <v>치리</v>
      </c>
      <c r="B7" s="5" t="str">
        <f ca="1"/>
        <v/>
      </c>
      <c r="C7" s="5" t="str">
        <f ca="1"/>
        <v/>
      </c>
      <c r="D7" s="16" t="str">
        <f ca="1"/>
        <v/>
      </c>
      <c r="E7" s="5" t="str">
        <f ca="1"/>
        <v/>
      </c>
      <c r="F7" s="5" t="str">
        <f ca="1"/>
        <v/>
      </c>
      <c r="G7" s="16" t="str">
        <f ca="1"/>
        <v/>
      </c>
      <c r="H7" s="5" t="str">
        <f ca="1"/>
        <v/>
      </c>
    </row>
    <row r="8" spans="1:14" ht="24" customHeight="1" thickTop="1" thickBot="1" x14ac:dyDescent="0.45">
      <c r="A8" s="7" t="str">
        <f ca="1"/>
        <v>박준오</v>
      </c>
      <c r="B8" s="17" t="str">
        <f ca="1"/>
        <v/>
      </c>
      <c r="C8" s="17" t="str">
        <f ca="1"/>
        <v/>
      </c>
      <c r="D8" s="18" t="str">
        <f ca="1"/>
        <v/>
      </c>
      <c r="E8" s="17" t="str">
        <f ca="1"/>
        <v/>
      </c>
      <c r="F8" s="17" t="str">
        <f ca="1"/>
        <v/>
      </c>
      <c r="G8" s="18" t="str">
        <f ca="1"/>
        <v/>
      </c>
      <c r="H8" s="17" t="str">
        <f ca="1"/>
        <v/>
      </c>
    </row>
    <row r="9" spans="1:14" ht="24" customHeight="1" thickTop="1" thickBot="1" x14ac:dyDescent="0.45">
      <c r="A9" s="15" t="str">
        <f ca="1"/>
        <v>지동원</v>
      </c>
      <c r="B9" s="5" t="str">
        <f ca="1"/>
        <v/>
      </c>
      <c r="C9" s="5" t="str">
        <f ca="1"/>
        <v/>
      </c>
      <c r="D9" s="16" t="str">
        <f ca="1"/>
        <v/>
      </c>
      <c r="E9" s="5" t="str">
        <f ca="1"/>
        <v/>
      </c>
      <c r="F9" s="5" t="str">
        <f ca="1"/>
        <v/>
      </c>
      <c r="G9" s="16" t="str">
        <f ca="1"/>
        <v/>
      </c>
      <c r="H9" s="5" t="str">
        <f ca="1"/>
        <v/>
      </c>
    </row>
    <row r="10" spans="1:14" ht="24" customHeight="1" thickTop="1" thickBot="1" x14ac:dyDescent="0.45">
      <c r="A10" s="7" t="str">
        <f ca="1"/>
        <v>진땅콩</v>
      </c>
      <c r="B10" s="17" t="str">
        <f ca="1"/>
        <v/>
      </c>
      <c r="C10" s="17" t="str">
        <f ca="1"/>
        <v/>
      </c>
      <c r="D10" s="18" t="str">
        <f ca="1"/>
        <v/>
      </c>
      <c r="E10" s="17" t="str">
        <f ca="1"/>
        <v/>
      </c>
      <c r="F10" s="17" t="str">
        <f ca="1"/>
        <v/>
      </c>
      <c r="G10" s="18" t="str">
        <f ca="1"/>
        <v/>
      </c>
      <c r="H10" s="17" t="str">
        <f ca="1"/>
        <v/>
      </c>
    </row>
    <row r="11" spans="1:14" ht="24" customHeight="1" thickTop="1" thickBot="1" x14ac:dyDescent="0.45">
      <c r="A11" s="15" t="str">
        <f ca="1"/>
        <v>주하랑</v>
      </c>
      <c r="B11" s="5">
        <f ca="1"/>
        <v>2</v>
      </c>
      <c r="C11" s="5">
        <f ca="1"/>
        <v>0</v>
      </c>
      <c r="D11" s="16">
        <f ca="1"/>
        <v>0</v>
      </c>
      <c r="E11" s="5">
        <f ca="1"/>
        <v>4000</v>
      </c>
      <c r="F11" s="5">
        <f ca="1"/>
        <v>16700</v>
      </c>
      <c r="G11" s="16">
        <f ca="1"/>
        <v>0.24</v>
      </c>
      <c r="H11" s="5">
        <f ca="1"/>
        <v>0</v>
      </c>
    </row>
    <row r="12" spans="1:14" ht="24" customHeight="1" thickTop="1" thickBot="1" x14ac:dyDescent="0.45">
      <c r="A12" s="7" t="str">
        <f ca="1"/>
        <v>햇살</v>
      </c>
      <c r="B12" s="17" t="str">
        <f ca="1"/>
        <v/>
      </c>
      <c r="C12" s="17" t="str">
        <f ca="1"/>
        <v/>
      </c>
      <c r="D12" s="18" t="str">
        <f ca="1"/>
        <v/>
      </c>
      <c r="E12" s="17" t="str">
        <f ca="1"/>
        <v/>
      </c>
      <c r="F12" s="17" t="str">
        <f ca="1"/>
        <v/>
      </c>
      <c r="G12" s="18" t="str">
        <f ca="1"/>
        <v/>
      </c>
      <c r="H12" s="17" t="str">
        <f ca="1"/>
        <v/>
      </c>
    </row>
    <row r="13" spans="1:14" ht="24" customHeight="1" thickTop="1" thickBot="1" x14ac:dyDescent="0.45">
      <c r="A13" s="15" t="str">
        <f ca="1"/>
        <v>소주양</v>
      </c>
      <c r="B13" s="5">
        <f ca="1"/>
        <v>1</v>
      </c>
      <c r="C13" s="5">
        <f ca="1"/>
        <v>0</v>
      </c>
      <c r="D13" s="16">
        <f ca="1"/>
        <v>0</v>
      </c>
      <c r="E13" s="5">
        <f ca="1"/>
        <v>0</v>
      </c>
      <c r="F13" s="5">
        <f ca="1"/>
        <v>1000</v>
      </c>
      <c r="G13" s="16">
        <f ca="1"/>
        <v>0</v>
      </c>
      <c r="H13" s="5">
        <f ca="1"/>
        <v>0</v>
      </c>
    </row>
    <row r="14" spans="1:14" ht="24" customHeight="1" thickTop="1" thickBot="1" x14ac:dyDescent="0.45">
      <c r="A14" s="7" t="str">
        <f ca="1"/>
        <v>파도튜브</v>
      </c>
      <c r="B14" s="17">
        <f ca="1"/>
        <v>1</v>
      </c>
      <c r="C14" s="17">
        <f ca="1"/>
        <v>1</v>
      </c>
      <c r="D14" s="18">
        <f ca="1"/>
        <v>1</v>
      </c>
      <c r="E14" s="17">
        <f ca="1"/>
        <v>4000</v>
      </c>
      <c r="F14" s="17">
        <f ca="1"/>
        <v>2000</v>
      </c>
      <c r="G14" s="18">
        <f ca="1"/>
        <v>2</v>
      </c>
      <c r="H14" s="17">
        <f ca="1"/>
        <v>0</v>
      </c>
    </row>
    <row r="15" spans="1:14" ht="24" customHeight="1" thickTop="1" thickBot="1" x14ac:dyDescent="0.45">
      <c r="A15" s="15" t="str">
        <f ca="1"/>
        <v>먼진</v>
      </c>
      <c r="B15" s="5">
        <f ca="1"/>
        <v>2</v>
      </c>
      <c r="C15" s="5">
        <f ca="1"/>
        <v>0</v>
      </c>
      <c r="D15" s="16">
        <f ca="1"/>
        <v>0</v>
      </c>
      <c r="E15" s="5">
        <f ca="1"/>
        <v>17300</v>
      </c>
      <c r="F15" s="5">
        <f ca="1"/>
        <v>12500</v>
      </c>
      <c r="G15" s="16">
        <f ca="1"/>
        <v>1.3839999999999999</v>
      </c>
      <c r="H15" s="5">
        <f ca="1"/>
        <v>0</v>
      </c>
    </row>
    <row r="16" spans="1:14" ht="24" customHeight="1" thickTop="1" thickBot="1" x14ac:dyDescent="0.45">
      <c r="A16" s="7" t="str">
        <f ca="1"/>
        <v>배성흠</v>
      </c>
      <c r="B16" s="17" t="str">
        <f ca="1"/>
        <v/>
      </c>
      <c r="C16" s="17" t="str">
        <f ca="1"/>
        <v/>
      </c>
      <c r="D16" s="18" t="str">
        <f ca="1"/>
        <v/>
      </c>
      <c r="E16" s="17" t="str">
        <f ca="1"/>
        <v/>
      </c>
      <c r="F16" s="17" t="str">
        <f ca="1"/>
        <v/>
      </c>
      <c r="G16" s="18" t="str">
        <f ca="1"/>
        <v/>
      </c>
      <c r="H16" s="17" t="str">
        <f ca="1"/>
        <v/>
      </c>
    </row>
    <row r="17" spans="1:8" ht="24" customHeight="1" thickTop="1" thickBot="1" x14ac:dyDescent="0.45">
      <c r="A17" s="15" t="str">
        <f ca="1"/>
        <v>박수범</v>
      </c>
      <c r="B17" s="5" t="str">
        <f ca="1"/>
        <v/>
      </c>
      <c r="C17" s="5" t="str">
        <f ca="1"/>
        <v/>
      </c>
      <c r="D17" s="16" t="str">
        <f ca="1"/>
        <v/>
      </c>
      <c r="E17" s="5" t="str">
        <f ca="1"/>
        <v/>
      </c>
      <c r="F17" s="5" t="str">
        <f ca="1"/>
        <v/>
      </c>
      <c r="G17" s="16" t="str">
        <f ca="1"/>
        <v/>
      </c>
      <c r="H17" s="5" t="str">
        <f ca="1"/>
        <v/>
      </c>
    </row>
    <row r="18" spans="1:8" ht="24" customHeight="1" thickTop="1" thickBot="1" x14ac:dyDescent="0.45">
      <c r="A18" s="7" t="str">
        <f ca="1"/>
        <v>비타밍</v>
      </c>
      <c r="B18" s="17">
        <f ca="1"/>
        <v>2</v>
      </c>
      <c r="C18" s="17">
        <f ca="1"/>
        <v>0</v>
      </c>
      <c r="D18" s="18">
        <f ca="1"/>
        <v>0</v>
      </c>
      <c r="E18" s="17">
        <f ca="1"/>
        <v>12900</v>
      </c>
      <c r="F18" s="17">
        <f ca="1"/>
        <v>15600</v>
      </c>
      <c r="G18" s="18">
        <f ca="1"/>
        <v>0.82699999999999996</v>
      </c>
      <c r="H18" s="17">
        <f ca="1"/>
        <v>20</v>
      </c>
    </row>
    <row r="19" spans="1:8" ht="24" customHeight="1" thickTop="1" thickBot="1" x14ac:dyDescent="0.45">
      <c r="A19" s="15" t="str">
        <f ca="1"/>
        <v>아리송이</v>
      </c>
      <c r="B19" s="5">
        <f ca="1"/>
        <v>1</v>
      </c>
      <c r="C19" s="5">
        <f ca="1"/>
        <v>1</v>
      </c>
      <c r="D19" s="16">
        <f ca="1"/>
        <v>1</v>
      </c>
      <c r="E19" s="5">
        <f ca="1"/>
        <v>4000</v>
      </c>
      <c r="F19" s="5">
        <f ca="1"/>
        <v>2000</v>
      </c>
      <c r="G19" s="16">
        <f ca="1"/>
        <v>2</v>
      </c>
      <c r="H19" s="5">
        <f ca="1"/>
        <v>0</v>
      </c>
    </row>
    <row r="20" spans="1:8" ht="24" customHeight="1" thickTop="1" thickBot="1" x14ac:dyDescent="0.45">
      <c r="A20" s="7" t="str">
        <f ca="1"/>
        <v>지두두</v>
      </c>
      <c r="B20" s="17">
        <f ca="1"/>
        <v>1</v>
      </c>
      <c r="C20" s="17">
        <f ca="1"/>
        <v>0</v>
      </c>
      <c r="D20" s="18">
        <f ca="1"/>
        <v>0</v>
      </c>
      <c r="E20" s="17">
        <f ca="1"/>
        <v>0</v>
      </c>
      <c r="F20" s="17">
        <f ca="1"/>
        <v>1000</v>
      </c>
      <c r="G20" s="18">
        <f ca="1"/>
        <v>0</v>
      </c>
      <c r="H20" s="17">
        <f ca="1"/>
        <v>0</v>
      </c>
    </row>
    <row r="21" spans="1:8" ht="24" customHeight="1" thickTop="1" thickBot="1" x14ac:dyDescent="0.45">
      <c r="A21" s="15" t="str">
        <f ca="1"/>
        <v>찌킹</v>
      </c>
      <c r="B21" s="5" t="str">
        <f ca="1"/>
        <v/>
      </c>
      <c r="C21" s="5" t="str">
        <f ca="1"/>
        <v/>
      </c>
      <c r="D21" s="16" t="str">
        <f ca="1"/>
        <v/>
      </c>
      <c r="E21" s="5" t="str">
        <f ca="1"/>
        <v/>
      </c>
      <c r="F21" s="5" t="str">
        <f ca="1"/>
        <v/>
      </c>
      <c r="G21" s="16" t="str">
        <f ca="1"/>
        <v/>
      </c>
      <c r="H21" s="5" t="str">
        <f ca="1"/>
        <v/>
      </c>
    </row>
    <row r="22" spans="1:8" ht="24" customHeight="1" thickTop="1" thickBot="1" x14ac:dyDescent="0.45">
      <c r="A22" s="7" t="str">
        <f ca="1"/>
        <v>사테</v>
      </c>
      <c r="B22" s="17" t="str">
        <f ca="1"/>
        <v/>
      </c>
      <c r="C22" s="17" t="str">
        <f ca="1"/>
        <v/>
      </c>
      <c r="D22" s="18" t="str">
        <f ca="1"/>
        <v/>
      </c>
      <c r="E22" s="17" t="str">
        <f ca="1"/>
        <v/>
      </c>
      <c r="F22" s="17" t="str">
        <f ca="1"/>
        <v/>
      </c>
      <c r="G22" s="18" t="str">
        <f ca="1"/>
        <v/>
      </c>
      <c r="H22" s="17" t="str">
        <f ca="1"/>
        <v/>
      </c>
    </row>
    <row r="23" spans="1:8" ht="24" customHeight="1" thickTop="1" thickBot="1" x14ac:dyDescent="0.45">
      <c r="A23" s="15" t="str">
        <f ca="1"/>
        <v>낭니</v>
      </c>
      <c r="B23" s="5" t="str">
        <f ca="1"/>
        <v/>
      </c>
      <c r="C23" s="5" t="str">
        <f ca="1"/>
        <v/>
      </c>
      <c r="D23" s="16" t="str">
        <f ca="1"/>
        <v/>
      </c>
      <c r="E23" s="5" t="str">
        <f ca="1"/>
        <v/>
      </c>
      <c r="F23" s="5" t="str">
        <f ca="1"/>
        <v/>
      </c>
      <c r="G23" s="16" t="str">
        <f ca="1"/>
        <v/>
      </c>
      <c r="H23" s="5" t="str">
        <f ca="1"/>
        <v/>
      </c>
    </row>
    <row r="24" spans="1:8" ht="24" customHeight="1" thickTop="1" thickBot="1" x14ac:dyDescent="0.45">
      <c r="A24" s="7"/>
      <c r="B24" s="17"/>
      <c r="C24" s="17"/>
      <c r="D24" s="18"/>
      <c r="E24" s="17"/>
      <c r="F24" s="17"/>
      <c r="G24" s="18"/>
      <c r="H24" s="17"/>
    </row>
    <row r="26" spans="1:8" ht="24" customHeight="1" thickTop="1" thickBot="1" x14ac:dyDescent="0.45">
      <c r="A26" s="7"/>
      <c r="B26" s="17"/>
      <c r="C26" s="17"/>
      <c r="D26" s="18"/>
      <c r="E26" s="17"/>
      <c r="F26" s="17"/>
      <c r="G26" s="18"/>
      <c r="H26" s="17"/>
    </row>
    <row r="28" spans="1:8" ht="24" customHeight="1" thickTop="1" thickBot="1" x14ac:dyDescent="0.45">
      <c r="A28" s="7"/>
      <c r="B28" s="17"/>
      <c r="C28" s="17"/>
      <c r="D28" s="18"/>
      <c r="E28" s="17"/>
      <c r="F28" s="17"/>
      <c r="G28" s="18"/>
      <c r="H28" s="17"/>
    </row>
    <row r="30" spans="1:8" ht="24" customHeight="1" thickTop="1" thickBot="1" x14ac:dyDescent="0.45">
      <c r="A30" s="7"/>
      <c r="B30" s="17"/>
      <c r="C30" s="17"/>
      <c r="D30" s="18"/>
      <c r="E30" s="17"/>
      <c r="F30" s="17"/>
      <c r="G30" s="18"/>
      <c r="H30" s="17"/>
    </row>
  </sheetData>
  <mergeCells count="1">
    <mergeCell ref="A1:H1"/>
  </mergeCells>
  <phoneticPr fontId="1" type="noConversion"/>
  <conditionalFormatting sqref="B3:H50">
    <cfRule type="expression" dxfId="1" priority="5">
      <formula>AND(COUNT(B$3:B$50)&gt;=1, ISNUMBER(B3), _xlfn.RANK.EQ(B3, B$3:B$50, 0) &lt;= 1)</formula>
    </cfRule>
    <cfRule type="expression" dxfId="0" priority="6">
      <formula>AND(COUNT(B$3:B$50)&gt;=1, ISNUMBER(B3), _xlfn.RANK.EQ(B3, B$3:B$50, 1) &lt;= 1)</formula>
    </cfRule>
  </conditionalFormatting>
  <dataValidations count="2">
    <dataValidation type="list" allowBlank="1" showInputMessage="1" showErrorMessage="1" sqref="M1" xr:uid="{CC6330F8-598E-4D42-94B2-5B2AC46C6B0B}">
      <formula1>"2024,2025,2026"</formula1>
    </dataValidation>
    <dataValidation type="list" allowBlank="1" showInputMessage="1" showErrorMessage="1" sqref="N1" xr:uid="{D82D4F6B-FBBA-46B4-8EE3-51C568C52D59}">
      <formula1>"01,02,03,04,05,06,07,08,09,10,11,12"</formula1>
    </dataValidation>
  </dataValidation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members</vt:lpstr>
      <vt:lpstr>설정</vt:lpstr>
      <vt:lpstr>크루</vt:lpstr>
      <vt:lpstr>멤버</vt:lpstr>
      <vt:lpstr>전적</vt:lpstr>
      <vt:lpstr>크루표</vt:lpstr>
      <vt:lpstr>멤버표</vt:lpstr>
      <vt:lpstr>이부</vt:lpstr>
      <vt:lpstr>이부표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정용석</dc:creator>
  <cp:lastModifiedBy>용석 정</cp:lastModifiedBy>
  <dcterms:created xsi:type="dcterms:W3CDTF">2025-12-01T06:59:39Z</dcterms:created>
  <dcterms:modified xsi:type="dcterms:W3CDTF">2026-09-04T15:29:10Z</dcterms:modified>
</cp:coreProperties>
</file>